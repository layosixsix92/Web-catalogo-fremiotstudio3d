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ribos a cotiz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<sst xmlns="http://schemas.openxmlformats.org/spreadsheetml/2006/main" count="54" uniqueCount="39">
  <si>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LISTA DE ESTRIBOS A COTIZAR - VIVIENDA UNIFAMILIAR, CHORRILLOS (ETAPA 1)</t>
  </si>
  <si>
    <t xml:space="preserve">TODOS los estribos en Ø3/8" (cambio de obra). Acero fy 4200. Medidas EXTERIORES en cm (ancho × alto). Ganchos sísmicos a 135° con extensión ≥ 7.5 cm. Longitud incluye ganchos.</t>
  </si>
  <si>
    <t xml:space="preserve">Ítem</t>
  </si>
  <si>
    <t xml:space="preserve">Elemento</t>
  </si>
  <si>
    <t xml:space="preserve">Ø</t>
  </si>
  <si>
    <t xml:space="preserve">Forma</t>
  </si>
  <si>
    <t xml:space="preserve">Medidas (cm)</t>
  </si>
  <si>
    <t xml:space="preserve">Long. desarrollada (m)</t>
  </si>
  <si>
    <t xml:space="preserve">Cantidad (und)</t>
  </si>
  <si>
    <t xml:space="preserve">Pedir (+3%)</t>
  </si>
  <si>
    <t xml:space="preserve">Peso (kg)</t>
  </si>
  <si>
    <t xml:space="preserve">1</t>
  </si>
  <si>
    <t xml:space="preserve">Columnas C-1 y C-2 (10 und)</t>
  </si>
  <si>
    <t xml:space="preserve">3/8"</t>
  </si>
  <si>
    <t xml:space="preserve">Estribo cerrado rectangular, 2 ganchos 135°</t>
  </si>
  <si>
    <t xml:space="preserve">22 × 42</t>
  </si>
  <si>
    <t xml:space="preserve">2</t>
  </si>
  <si>
    <t xml:space="preserve">Gancho suplementario recto (135° en un extremo y 90° en el otro, alternados)</t>
  </si>
  <si>
    <t xml:space="preserve">recto 42</t>
  </si>
  <si>
    <t xml:space="preserve">3</t>
  </si>
  <si>
    <t xml:space="preserve">Columna C-3 (B1, B5)</t>
  </si>
  <si>
    <t xml:space="preserve">52 × 22</t>
  </si>
  <si>
    <t xml:space="preserve">4</t>
  </si>
  <si>
    <t xml:space="preserve">Estribo interior cerrado (medida del dibujo, verificar)</t>
  </si>
  <si>
    <t xml:space="preserve">17.5 × 22</t>
  </si>
  <si>
    <t xml:space="preserve">5</t>
  </si>
  <si>
    <t xml:space="preserve">Columna C-4 (B2, B3, B4)</t>
  </si>
  <si>
    <t xml:space="preserve">52 × 27</t>
  </si>
  <si>
    <t xml:space="preserve">6</t>
  </si>
  <si>
    <t xml:space="preserve">26 × 27</t>
  </si>
  <si>
    <t xml:space="preserve">7</t>
  </si>
  <si>
    <t xml:space="preserve">Vigas de equilibrio VE-1 y VE-2 (16 und)</t>
  </si>
  <si>
    <t xml:space="preserve">22 × 62</t>
  </si>
  <si>
    <t xml:space="preserve">8</t>
  </si>
  <si>
    <t xml:space="preserve">Vigas de conexión VC (6 und)</t>
  </si>
  <si>
    <t xml:space="preserve">17 × 32</t>
  </si>
  <si>
    <t xml:space="preserve">TOTAL</t>
  </si>
  <si>
    <t xml:space="preserve">Pendiente: estribos del cerco (plano E-09 aún no recibido). Ø1/2" ya no se usa en esta lista.</t>
  </si>
  <si>
    <t xml:space="preserve">Cantidad por columna (E-04, piso 1 hasta +2.30): 2×9 en zonas Lo + 13 en empalme @0.075 + 12 resto @0.09 = 43 estribos por columna.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</si>
</sst>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6"/>
    <col collapsed="false" customWidth="true" hidden="false" outlineLevel="0" max="4" min="4" style="1" width="5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9" min="8" style="1" width="11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4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n">
        <v>1.48</v>
      </c>
      <c r="G5" s="5" t="n">
        <v>430</v>
      </c>
      <c r="H5" s="6" t="n">
        <f aca="false">ROUNDUP(G5*1.03,0)</f>
        <v>443</v>
      </c>
      <c r="I5" s="7" t="n">
        <f aca="false">H5*F5*0.56</f>
        <v>367.1584</v>
      </c>
    </row>
    <row r="6" customFormat="false" ht="23.25" hidden="false" customHeight="true" outlineLevel="0" collapsed="false">
      <c r="A6" s="5" t="s">
        <v>16</v>
      </c>
      <c r="B6" s="5" t="s">
        <v>12</v>
      </c>
      <c r="C6" s="5" t="s">
        <v>13</v>
      </c>
      <c r="D6" s="5" t="s">
        <v>17</v>
      </c>
      <c r="E6" s="5" t="s">
        <v>18</v>
      </c>
      <c r="F6" s="5" t="n">
        <v>0.42</v>
      </c>
      <c r="G6" s="5" t="n">
        <v>430</v>
      </c>
      <c r="H6" s="6" t="n">
        <f aca="false">ROUNDUP(G6*1.03,0)</f>
        <v>443</v>
      </c>
      <c r="I6" s="7" t="n">
        <f aca="false">H6*F6*0.56</f>
        <v>104.1936</v>
      </c>
    </row>
    <row r="7" customFormat="false" ht="15" hidden="false" customHeight="true" outlineLevel="0" collapsed="false">
      <c r="A7" s="5" t="s">
        <v>19</v>
      </c>
      <c r="B7" s="5" t="s">
        <v>20</v>
      </c>
      <c r="C7" s="5" t="s">
        <v>13</v>
      </c>
      <c r="D7" s="5" t="s">
        <v>14</v>
      </c>
      <c r="E7" s="5" t="s">
        <v>21</v>
      </c>
      <c r="F7" s="5" t="n">
        <v>1.68</v>
      </c>
      <c r="G7" s="5" t="n">
        <v>86</v>
      </c>
      <c r="H7" s="6" t="n">
        <f aca="false">ROUNDUP(G7*1.03,0)</f>
        <v>89</v>
      </c>
      <c r="I7" s="7" t="n">
        <f aca="false">H7*F7*0.56</f>
        <v>83.7312</v>
      </c>
    </row>
    <row r="8" customFormat="false" ht="15" hidden="false" customHeight="true" outlineLevel="0" collapsed="false">
      <c r="A8" s="5" t="s">
        <v>22</v>
      </c>
      <c r="B8" s="5" t="s">
        <v>20</v>
      </c>
      <c r="C8" s="5" t="s">
        <v>13</v>
      </c>
      <c r="D8" s="5" t="s">
        <v>23</v>
      </c>
      <c r="E8" s="5" t="s">
        <v>24</v>
      </c>
      <c r="F8" s="5" t="n">
        <v>0.99</v>
      </c>
      <c r="G8" s="5" t="n">
        <v>86</v>
      </c>
      <c r="H8" s="6" t="n">
        <f aca="false">ROUNDUP(G8*1.03,0)</f>
        <v>89</v>
      </c>
      <c r="I8" s="7" t="n">
        <f aca="false">H8*F8*0.56</f>
        <v>49.3416</v>
      </c>
    </row>
    <row r="9" customFormat="false" ht="15" hidden="false" customHeight="true" outlineLevel="0" collapsed="false">
      <c r="A9" s="5" t="s">
        <v>25</v>
      </c>
      <c r="B9" s="5" t="s">
        <v>26</v>
      </c>
      <c r="C9" s="5" t="s">
        <v>13</v>
      </c>
      <c r="D9" s="5" t="s">
        <v>14</v>
      </c>
      <c r="E9" s="5" t="s">
        <v>27</v>
      </c>
      <c r="F9" s="5" t="n">
        <v>1.78</v>
      </c>
      <c r="G9" s="5" t="n">
        <v>129</v>
      </c>
      <c r="H9" s="6" t="n">
        <f aca="false">ROUNDUP(G9*1.03,0)</f>
        <v>133</v>
      </c>
      <c r="I9" s="7" t="n">
        <f aca="false">H9*F9*0.56</f>
        <v>132.5744</v>
      </c>
    </row>
    <row r="10" customFormat="false" ht="15" hidden="false" customHeight="true" outlineLevel="0" collapsed="false">
      <c r="A10" s="5" t="s">
        <v>28</v>
      </c>
      <c r="B10" s="5" t="s">
        <v>26</v>
      </c>
      <c r="C10" s="5" t="s">
        <v>13</v>
      </c>
      <c r="D10" s="5" t="s">
        <v>23</v>
      </c>
      <c r="E10" s="5" t="s">
        <v>29</v>
      </c>
      <c r="F10" s="5" t="n">
        <v>1.26</v>
      </c>
      <c r="G10" s="5" t="n">
        <v>129</v>
      </c>
      <c r="H10" s="6" t="n">
        <f aca="false">ROUNDUP(G10*1.03,0)</f>
        <v>133</v>
      </c>
      <c r="I10" s="7" t="n">
        <f aca="false">H10*F10*0.56</f>
        <v>93.8448</v>
      </c>
    </row>
    <row r="11" customFormat="false" ht="15" hidden="false" customHeight="true" outlineLevel="0" collapsed="false">
      <c r="A11" s="5" t="s">
        <v>30</v>
      </c>
      <c r="B11" s="5" t="s">
        <v>31</v>
      </c>
      <c r="C11" s="5" t="s">
        <v>13</v>
      </c>
      <c r="D11" s="5" t="s">
        <v>14</v>
      </c>
      <c r="E11" s="5" t="s">
        <v>32</v>
      </c>
      <c r="F11" s="5" t="n">
        <v>1.93</v>
      </c>
      <c r="G11" s="5" t="n">
        <v>381</v>
      </c>
      <c r="H11" s="6" t="n">
        <f aca="false">ROUNDUP(G11*1.03,0)</f>
        <v>393</v>
      </c>
      <c r="I11" s="7" t="n">
        <f aca="false">H11*F11*0.56</f>
        <v>424.7544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5" t="s">
        <v>13</v>
      </c>
      <c r="D12" s="5" t="s">
        <v>14</v>
      </c>
      <c r="E12" s="5" t="s">
        <v>35</v>
      </c>
      <c r="F12" s="5" t="n">
        <v>1.18</v>
      </c>
      <c r="G12" s="5" t="n">
        <v>86</v>
      </c>
      <c r="H12" s="6" t="n">
        <f aca="false">ROUNDUP(G12*1.03,0)</f>
        <v>89</v>
      </c>
      <c r="I12" s="7" t="n">
        <f aca="false">H12*F12*0.56</f>
        <v>58.8112</v>
      </c>
    </row>
    <row r="13" customFormat="false" ht="15" hidden="false" customHeight="true" outlineLevel="0" collapsed="false">
      <c r="B13" s="8" t="s">
        <v>36</v>
      </c>
      <c r="G13" s="9" t="n">
        <f aca="false">SUM(G5:G12)</f>
        <v>1757</v>
      </c>
      <c r="H13" s="9" t="n">
        <f aca="false">SUM(H5:H12)</f>
        <v>1812</v>
      </c>
      <c r="I13" s="10" t="n">
        <f aca="false">SUM(I5:I12)</f>
        <v>1314.4096</v>
      </c>
    </row>
    <row r="15" customFormat="false" ht="15" hidden="false" customHeight="true" outlineLevel="0" collapsed="false">
      <c r="A15" s="3" t="s">
        <v>37</v>
      </c>
    </row>
    <row r="16" customFormat="false" ht="15" hidden="false" customHeight="true" outlineLevel="0" collapsed="false">
      <c r="A16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2026-10-15T18:59:47Z</dcterms:created>
  <dc:creator>openpyxl</dc:creator>
  <dc:description/>
  <dc:language>en-US</dc:language>
  <cp:lastModifiedBy/>
  <dcterms:modified xsi:type="dcterms:W3CDTF">2026-10-15T20:14:17Z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