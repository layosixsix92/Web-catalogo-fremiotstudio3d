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ón" sheetId="1" state="visible" r:id="rId3"/>
    <sheet name="Metrados" sheetId="2" state="visible" r:id="rId4"/>
    <sheet name="Precios" sheetId="3" state="visible" r:id="rId5"/>
    <sheet name="Materiales" sheetId="4" state="visible" r:id="rId6"/>
    <sheet name="Equipos y servicios" sheetId="5" state="visible" r:id="rId7"/>
    <sheet name="Mano de obra" sheetId="6" state="visible" r:id="rId8"/>
    <sheet name="INT Mi costo y gananci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<sst xmlns="http://schemas.openxmlformats.org/spreadsheetml/2006/main" count="546" uniqueCount="371">
  <si>
    <t xml:space="preserve">COTIZACIÓN ETAPA 1 - VIVIENDA UNIFAMILIAR, CHORRILLOS</t>
  </si>
  <si>
    <t xml:space="preserve">Cimentación, columnas 1er piso hasta +2.30, cerco delantero y muros del perímetro (E-10). Precios Lima, octubre 2026.</t>
  </si>
  <si>
    <t xml:space="preserve">Concepto</t>
  </si>
  <si>
    <t xml:space="preserve">Monto (S/)</t>
  </si>
  <si>
    <t xml:space="preserve">%</t>
  </si>
  <si>
    <t xml:space="preserve">Quién paga</t>
  </si>
  <si>
    <t xml:space="preserve">A. Materiales</t>
  </si>
  <si>
    <t xml:space="preserve">Cliente - compra directa con boleta/factura</t>
  </si>
  <si>
    <t xml:space="preserve">B. Equipos y servicios (volquetes, apisonador, probetas, agua, flete)</t>
  </si>
  <si>
    <t xml:space="preserve">Cliente</t>
  </si>
  <si>
    <t xml:space="preserve">C. Mano de obra, retroexcavadora y dirección técnica (por un tanto)</t>
  </si>
  <si>
    <t xml:space="preserve">Pago por etapas al contratista</t>
  </si>
  <si>
    <t xml:space="preserve">SUBTOTAL</t>
  </si>
  <si>
    <t xml:space="preserve">D. Imprevistos 5% (sobre A + B)</t>
  </si>
  <si>
    <t xml:space="preserve">Variaciones de precio y de metrado hasta el EMS</t>
  </si>
  <si>
    <t xml:space="preserve">TOTAL ETAPA 1</t>
  </si>
  <si>
    <t xml:space="preserve">Adicional: calzaduras (solo si se necesitan, se cotizan aparte)</t>
  </si>
  <si>
    <t xml:space="preserve">por definir</t>
  </si>
  <si>
    <t xml:space="preserve">FORMA DE PAGO DE LA MANO DE OBRA (por etapa terminada y revisada)</t>
  </si>
  <si>
    <t xml:space="preserve">Etapa</t>
  </si>
  <si>
    <t xml:space="preserve">1. Limpieza, trazo, excavación con máquina, perfilado y eliminación</t>
  </si>
  <si>
    <t xml:space="preserve">2. Solados, acero, encofrado y vaciado de zapatas, VE y VC</t>
  </si>
  <si>
    <t xml:space="preserve">3. Relleno compactado y sobrecimientos</t>
  </si>
  <si>
    <t xml:space="preserve">4. Columnas del 1er piso hasta +2.30</t>
  </si>
  <si>
    <t xml:space="preserve">5. Cerco delantero, muros del perímetro, juntas y limpieza final</t>
  </si>
  <si>
    <t xml:space="preserve">TOTAL</t>
  </si>
  <si>
    <t xml:space="preserve">INCLUYE: todo lo del cuadro E-10 con metrados verificados (hoja Metrados).</t>
  </si>
  <si>
    <t xml:space="preserve">NO INCLUYE: vigas y techo del 1er piso, nudos sobre +2.30, tabiques interiores, escalera, falso piso, tarrajeos, instalaciones, fachada existente, licencia, EMS, calzaduras.</t>
  </si>
  <si>
    <t xml:space="preserve">Materiales a precio de tienda con IGV; el premezclado y la bomba deben confirmarse con 2-3 concreteras. Validez: 15 días.</t>
  </si>
  <si>
    <t xml:space="preserve">Nivel de VE según E-10 (de -1.00 a -0.30 sobre tecnopor). Si se cambia, se ajusta concreto, encofrado y excavación.</t>
  </si>
  <si>
    <t xml:space="preserve">ETAPA 1 - METRADOS VERIFICADOS (E-10 vs. revisión)</t>
  </si>
  <si>
    <t xml:space="preserve">Revisión del cuadro E-10 contra E-01, E-02/E-03, E-04. Filas en naranja = corregidas. VE de -1.00 a -0.30 sobre tecnopor (zanja de 1.10 de E-10).</t>
  </si>
  <si>
    <t xml:space="preserve">Ítem</t>
  </si>
  <si>
    <t xml:space="preserve">Partida</t>
  </si>
  <si>
    <t xml:space="preserve">Und</t>
  </si>
  <si>
    <t xml:space="preserve">Metrado E-10</t>
  </si>
  <si>
    <t xml:space="preserve">Metrado verificado</t>
  </si>
  <si>
    <t xml:space="preserve">Diferencia</t>
  </si>
  <si>
    <t xml:space="preserve">Sustento de la verificación</t>
  </si>
  <si>
    <t xml:space="preserve">01  OBRAS PRELIMINARES</t>
  </si>
  <si>
    <t xml:space="preserve">01.01</t>
  </si>
  <si>
    <t xml:space="preserve">Limpieza de terreno</t>
  </si>
  <si>
    <t xml:space="preserve">m²</t>
  </si>
  <si>
    <t xml:space="preserve">Lote 7.90 × 21.55</t>
  </si>
  <si>
    <t xml:space="preserve">01.02</t>
  </si>
  <si>
    <t xml:space="preserve">Trazo, nivelación y replanteo</t>
  </si>
  <si>
    <t xml:space="preserve">02  MOVIMIENTO DE TIERRAS</t>
  </si>
  <si>
    <t xml:space="preserve">02.01</t>
  </si>
  <si>
    <t xml:space="preserve">Excavación zapatas vivienda (retroexcavadora)</t>
  </si>
  <si>
    <t xml:space="preserve">m³</t>
  </si>
  <si>
    <t xml:space="preserve">15 zapatas + 0.10 de sobreancho × 1.60 (fondo -1.50 + solado)</t>
  </si>
  <si>
    <t xml:space="preserve">02.02</t>
  </si>
  <si>
    <t xml:space="preserve">Excavación zanjas VE / VC (retroexcavadora)</t>
  </si>
  <si>
    <t xml:space="preserve">VE 0.70×1.10×24.53 m = 18.9; VC 0.55×1.50×6.56 m = 5.4</t>
  </si>
  <si>
    <t xml:space="preserve">02.03</t>
  </si>
  <si>
    <t xml:space="preserve">Excavación manual cerco (ZC, cimiento corrido, VA)</t>
  </si>
  <si>
    <t xml:space="preserve">E-10 omite la VA del cerco. ZC 5.04 + cimiento 2.97 + VA 5.31 (de tu Excel, E-09)</t>
  </si>
  <si>
    <t xml:space="preserve">02.04</t>
  </si>
  <si>
    <t xml:space="preserve">Relleno compactado con material propio hasta -0.20</t>
  </si>
  <si>
    <t xml:space="preserve">Vivienda: 111.4 excav. - 43.1 enterrado - 14.5 (capa superior 0.20) = 53.8; cerco 7.3. E-10 79.4 NO CABE en la excavación</t>
  </si>
  <si>
    <t xml:space="preserve">02.05</t>
  </si>
  <si>
    <t xml:space="preserve">Eliminación de material excedente (esponj. 25%)</t>
  </si>
  <si>
    <t xml:space="preserve">(124.7 - 61.1) × 1.25. E-10 sale bajo porque su relleno está inflado</t>
  </si>
  <si>
    <t xml:space="preserve">03  CONCRETO SIMPLE</t>
  </si>
  <si>
    <t xml:space="preserve">03.01</t>
  </si>
  <si>
    <t xml:space="preserve">Solado C:H 1:12 (0.10 vivienda / 0.05 cerco)</t>
  </si>
  <si>
    <t xml:space="preserve">46.79 + 3.20</t>
  </si>
  <si>
    <t xml:space="preserve">03.02</t>
  </si>
  <si>
    <t xml:space="preserve">Cimiento corrido ciclópeo 1:10 + 30% PG (cerco)</t>
  </si>
  <si>
    <t xml:space="preserve">9.28 × 0.40 × 0.60</t>
  </si>
  <si>
    <t xml:space="preserve">03.03</t>
  </si>
  <si>
    <t xml:space="preserve">Sobrecimiento 1:8 + 25% PM 0.15×0.40 (perímetro + cerco)</t>
  </si>
  <si>
    <t xml:space="preserve">(31.7 + 11.8) × 0.15 × 0.40</t>
  </si>
  <si>
    <t xml:space="preserve">03.04</t>
  </si>
  <si>
    <t xml:space="preserve">Encofrado de sobrecimiento (2 caras)</t>
  </si>
  <si>
    <t xml:space="preserve">43.5 × 0.40 × 2</t>
  </si>
  <si>
    <t xml:space="preserve">04  CONCRETO ARMADO f'c 210</t>
  </si>
  <si>
    <t xml:space="preserve">04.01</t>
  </si>
  <si>
    <t xml:space="preserve">Zapatas Z-1 a Z-5 (vaciado contra terreno)</t>
  </si>
  <si>
    <t xml:space="preserve">Cuadro E-01</t>
  </si>
  <si>
    <t xml:space="preserve">04.02</t>
  </si>
  <si>
    <t xml:space="preserve">Vigas de equilibrio VE 0.30×0.70</t>
  </si>
  <si>
    <t xml:space="preserve">E-10 solo mide 24.5 m entre zapatas. Con VE de -1.00 a -0.30 la viga va ENCIMA de la zapata: también se vacía el tramo sobre zapata (30.95 m). 0.21 × 55.47</t>
  </si>
  <si>
    <t xml:space="preserve">04.03</t>
  </si>
  <si>
    <t xml:space="preserve">Encofrado VE (2 caras)</t>
  </si>
  <si>
    <t xml:space="preserve">2 × 0.70 × 55.47 (también sobre la zapata)</t>
  </si>
  <si>
    <t xml:space="preserve">04.04</t>
  </si>
  <si>
    <t xml:space="preserve">Tecnopor e = 0.10 bajo VE (solo entre zapatas)</t>
  </si>
  <si>
    <t xml:space="preserve">0.30 × 24.53</t>
  </si>
  <si>
    <t xml:space="preserve">04.05</t>
  </si>
  <si>
    <t xml:space="preserve">Vigas de conexión VC 0.25×0.40</t>
  </si>
  <si>
    <t xml:space="preserve">0.10 × 6.56 (sobre zapata queda dentro de la zapata)</t>
  </si>
  <si>
    <t xml:space="preserve">04.05b</t>
  </si>
  <si>
    <t xml:space="preserve">Encofrado VC</t>
  </si>
  <si>
    <t xml:space="preserve">2 × 0.40 × 6.56</t>
  </si>
  <si>
    <t xml:space="preserve">04.06</t>
  </si>
  <si>
    <t xml:space="preserve">Columnas 1er piso (-1.00 a +2.30)</t>
  </si>
  <si>
    <t xml:space="preserve">2.49 m² × 3.30</t>
  </si>
  <si>
    <t xml:space="preserve">04.07</t>
  </si>
  <si>
    <t xml:space="preserve">Encofrado columnas 1er piso</t>
  </si>
  <si>
    <t xml:space="preserve">Perímetros 25.3 m × 3.30</t>
  </si>
  <si>
    <t xml:space="preserve">04.08</t>
  </si>
  <si>
    <t xml:space="preserve">Cerco: ZC, VA, CA, solera</t>
  </si>
  <si>
    <t xml:space="preserve">E-09 (no verificado: plano no recibido)</t>
  </si>
  <si>
    <t xml:space="preserve">04.08b</t>
  </si>
  <si>
    <t xml:space="preserve">Encofrado cerco</t>
  </si>
  <si>
    <t xml:space="preserve">E-09 (no verificado)</t>
  </si>
  <si>
    <t xml:space="preserve">04.09</t>
  </si>
  <si>
    <t xml:space="preserve">Acero fy 4200 habilitado y colocado</t>
  </si>
  <si>
    <t xml:space="preserve">kg</t>
  </si>
  <si>
    <t xml:space="preserve">E-10 pone VE 956 y VC 153 kg. Cuadro de vigas E-02/E-03: VE 1,815 y VC 282 kg (barras continuas con ganchos de 0.45 en columnas)</t>
  </si>
  <si>
    <t xml:space="preserve">04.10</t>
  </si>
  <si>
    <t xml:space="preserve">Anclaje con epóxico Ø3/8" en columnas existentes</t>
  </si>
  <si>
    <t xml:space="preserve">und</t>
  </si>
  <si>
    <t xml:space="preserve">05  ALBAÑILERÍA KK 18 huecos de soga, mortero 1:4</t>
  </si>
  <si>
    <t xml:space="preserve">05.01</t>
  </si>
  <si>
    <t xml:space="preserve">Muro cerco delantero</t>
  </si>
  <si>
    <t xml:space="preserve">05.02</t>
  </si>
  <si>
    <t xml:space="preserve">Muro perímetro vivienda hasta +2.00 (con junta)</t>
  </si>
  <si>
    <t xml:space="preserve">31.7 m × 1.80</t>
  </si>
  <si>
    <t xml:space="preserve">05.03</t>
  </si>
  <si>
    <t xml:space="preserve">Junta con tecnopor 1"</t>
  </si>
  <si>
    <t xml:space="preserve">ml</t>
  </si>
  <si>
    <t xml:space="preserve">Juntas muro-columna × 1.80 + cerco</t>
  </si>
  <si>
    <t xml:space="preserve">06  VARIOS</t>
  </si>
  <si>
    <t xml:space="preserve">06.01</t>
  </si>
  <si>
    <t xml:space="preserve">Curado de concreto</t>
  </si>
  <si>
    <t xml:space="preserve">glb</t>
  </si>
  <si>
    <t xml:space="preserve">06.02</t>
  </si>
  <si>
    <t xml:space="preserve">Ensayo de probetas</t>
  </si>
  <si>
    <t xml:space="preserve">juego</t>
  </si>
  <si>
    <t xml:space="preserve">IMPORTANTE - NIVEL DE LA VE: E-10 usa VE de -1.00 a -0.30 (zanja de 1.10 y tecnopor debajo). Si la VE va con fondo a -1.50 (al mismo nivel que la zapata),</t>
  </si>
  <si>
    <t xml:space="preserve">el concreto de VE baja a 7.0 m³ y el encofrado a 46.7 m², pero la zanja de VE sube a 1.60 de profundidad (27.5 m³). Definir antes de comprar.</t>
  </si>
  <si>
    <t xml:space="preserve">Acero de columnas 1er piso: 2,646 kg (E-10) verificado (barras Ø5/8" de 6.00 m de arranque + estribos Ø1/2" 1,342 kg + montaje 3/8" 38 kg).</t>
  </si>
  <si>
    <t xml:space="preserve">PRECIOS DE MATERIALES Y SERVICIOS - Lima, octubre 2026 (con IGV)</t>
  </si>
  <si>
    <t xml:space="preserve">AZUL = editable. Fuente principal: tu Excel (Sodimac / mercado oct-2026). Cambia aquí y todo se recalcula.</t>
  </si>
  <si>
    <t xml:space="preserve">Código</t>
  </si>
  <si>
    <t xml:space="preserve">Insumo</t>
  </si>
  <si>
    <t xml:space="preserve">Precio (S/)</t>
  </si>
  <si>
    <t xml:space="preserve">Fuente</t>
  </si>
  <si>
    <t xml:space="preserve">prem</t>
  </si>
  <si>
    <t xml:space="preserve">Concreto premezclado f'c 210</t>
  </si>
  <si>
    <t xml:space="preserve">Mercado Lima S/ 260-320 (tu Excel 300). Se usa 320 por seguridad</t>
  </si>
  <si>
    <t xml:space="preserve">bomba</t>
  </si>
  <si>
    <t xml:space="preserve">Bomba de concreto</t>
  </si>
  <si>
    <t xml:space="preserve">S/ 35-40/m³, mínimo 20 m³ por vaciado</t>
  </si>
  <si>
    <t xml:space="preserve">cem</t>
  </si>
  <si>
    <t xml:space="preserve">Cemento GU / Tipo I 42.5 kg</t>
  </si>
  <si>
    <t xml:space="preserve">bolsa</t>
  </si>
  <si>
    <t xml:space="preserve">Sodimac oct-2026</t>
  </si>
  <si>
    <t xml:space="preserve">are</t>
  </si>
  <si>
    <t xml:space="preserve">Arena gruesa</t>
  </si>
  <si>
    <t xml:space="preserve">Tu Excel</t>
  </si>
  <si>
    <t xml:space="preserve">pie</t>
  </si>
  <si>
    <t xml:space="preserve">Piedra chancada 1/2"</t>
  </si>
  <si>
    <t xml:space="preserve">hor</t>
  </si>
  <si>
    <t xml:space="preserve">Hormigón</t>
  </si>
  <si>
    <t xml:space="preserve">pg</t>
  </si>
  <si>
    <t xml:space="preserve">Piedra grande 6"</t>
  </si>
  <si>
    <t xml:space="preserve">pm</t>
  </si>
  <si>
    <t xml:space="preserve">Piedra mediana 4"</t>
  </si>
  <si>
    <t xml:space="preserve">f34</t>
  </si>
  <si>
    <t xml:space="preserve">Varilla Ø3/4" × 9 m</t>
  </si>
  <si>
    <t xml:space="preserve">varilla</t>
  </si>
  <si>
    <t xml:space="preserve">f58</t>
  </si>
  <si>
    <t xml:space="preserve">Varilla Ø5/8" × 9 m</t>
  </si>
  <si>
    <t xml:space="preserve">f12</t>
  </si>
  <si>
    <t xml:space="preserve">Varilla Ø1/2" × 9 m</t>
  </si>
  <si>
    <t xml:space="preserve">f38</t>
  </si>
  <si>
    <t xml:space="preserve">Varilla Ø3/8" × 9 m</t>
  </si>
  <si>
    <t xml:space="preserve">f6</t>
  </si>
  <si>
    <t xml:space="preserve">Varilla 6 mm × 9 m</t>
  </si>
  <si>
    <t xml:space="preserve">al16</t>
  </si>
  <si>
    <t xml:space="preserve">Alambre N°16 rollo 100 kg</t>
  </si>
  <si>
    <t xml:space="preserve">rollo</t>
  </si>
  <si>
    <t xml:space="preserve">al8</t>
  </si>
  <si>
    <t xml:space="preserve">Alambre N°8</t>
  </si>
  <si>
    <t xml:space="preserve">Referencial</t>
  </si>
  <si>
    <t xml:space="preserve">clavo</t>
  </si>
  <si>
    <t xml:space="preserve">Clavos 2"-4"</t>
  </si>
  <si>
    <t xml:space="preserve">kk</t>
  </si>
  <si>
    <t xml:space="preserve">Ladrillo KK 18 huecos</t>
  </si>
  <si>
    <t xml:space="preserve">Sodimac</t>
  </si>
  <si>
    <t xml:space="preserve">t4</t>
  </si>
  <si>
    <t xml:space="preserve">Tecnopor 4" plancha 1.20×2.40</t>
  </si>
  <si>
    <t xml:space="preserve">plancha</t>
  </si>
  <si>
    <t xml:space="preserve">t1</t>
  </si>
  <si>
    <t xml:space="preserve">Tecnopor 1" plancha 1.20×2.40</t>
  </si>
  <si>
    <t xml:space="preserve">epox</t>
  </si>
  <si>
    <t xml:space="preserve">Epóxico para anclajes (cartucho)</t>
  </si>
  <si>
    <t xml:space="preserve">asf</t>
  </si>
  <si>
    <t xml:space="preserve">Impermeabilizante asfáltico</t>
  </si>
  <si>
    <t xml:space="preserve">gal</t>
  </si>
  <si>
    <t xml:space="preserve">volq</t>
  </si>
  <si>
    <t xml:space="preserve">Volquete 18 m³ eliminación</t>
  </si>
  <si>
    <t xml:space="preserve">viaje</t>
  </si>
  <si>
    <t xml:space="preserve">Tu Excel (C&amp;M Chamana)</t>
  </si>
  <si>
    <t xml:space="preserve">apis</t>
  </si>
  <si>
    <t xml:space="preserve">Apisonador / plancha compactadora</t>
  </si>
  <si>
    <t xml:space="preserve">día</t>
  </si>
  <si>
    <t xml:space="preserve">prob</t>
  </si>
  <si>
    <t xml:space="preserve">Ensayo de probetas (juego de 3)</t>
  </si>
  <si>
    <t xml:space="preserve">gas</t>
  </si>
  <si>
    <t xml:space="preserve">Gasolina</t>
  </si>
  <si>
    <t xml:space="preserve">retro</t>
  </si>
  <si>
    <t xml:space="preserve">Retroexcavadora con operador (mín. 5 h)</t>
  </si>
  <si>
    <t xml:space="preserve">h</t>
  </si>
  <si>
    <t xml:space="preserve">Tu dato</t>
  </si>
  <si>
    <t xml:space="preserve">trasl</t>
  </si>
  <si>
    <t xml:space="preserve">Traslado de retroexcavadora</t>
  </si>
  <si>
    <t xml:space="preserve">Supuesto (confirmar)</t>
  </si>
  <si>
    <t xml:space="preserve">op</t>
  </si>
  <si>
    <t xml:space="preserve">Operario (jornal informal)</t>
  </si>
  <si>
    <t xml:space="preserve">Tu Excel (ObraMaestra S/ 120-160)</t>
  </si>
  <si>
    <t xml:space="preserve">ay</t>
  </si>
  <si>
    <t xml:space="preserve">Ayudante / peón (jornal informal)</t>
  </si>
  <si>
    <t xml:space="preserve">Tu Excel (S/ 70-90)</t>
  </si>
  <si>
    <t xml:space="preserve">mezc</t>
  </si>
  <si>
    <t xml:space="preserve">Alquiler mezcladora (trompo)</t>
  </si>
  <si>
    <t xml:space="preserve">vibr</t>
  </si>
  <si>
    <t xml:space="preserve">Alquiler vibrador</t>
  </si>
  <si>
    <t xml:space="preserve">encof</t>
  </si>
  <si>
    <t xml:space="preserve">Alquiler / reposición de encofrado (tablas, puntales, fenólico)</t>
  </si>
  <si>
    <t xml:space="preserve">Tu Excel 2,000; +500 por VE sobre zapata</t>
  </si>
  <si>
    <t xml:space="preserve">MATERIALES - ETAPA 1 (cantidades por despiece real de varillas)</t>
  </si>
  <si>
    <t xml:space="preserve">Concreto estructural con premezclado + bomba. Mezclas menores (solado, ciclópeo, sobrecimiento, solera, mortero) en obra.</t>
  </si>
  <si>
    <t xml:space="preserve">N°</t>
  </si>
  <si>
    <t xml:space="preserve">Material</t>
  </si>
  <si>
    <t xml:space="preserve">Cantidad</t>
  </si>
  <si>
    <t xml:space="preserve">P.U. (S/)</t>
  </si>
  <si>
    <t xml:space="preserve">Parcial (S/)</t>
  </si>
  <si>
    <t xml:space="preserve">Cómo se calculó</t>
  </si>
  <si>
    <t xml:space="preserve">A. CONCRETO PREMEZCLADO</t>
  </si>
  <si>
    <t xml:space="preserve">Premezclado f'c 210 - vaciado 1: zapatas + VE + VC + ZC + VA cerco</t>
  </si>
  <si>
    <t xml:space="preserve">(23.39 + 11.65 + 0.66 + 1.36 + 1.18) × 1.04 = 39.8 → pedir 40.0</t>
  </si>
  <si>
    <t xml:space="preserve">Bomba - vaciado 1</t>
  </si>
  <si>
    <t xml:space="preserve">Premezclado f'c 210 - vaciado 2: columnas 1er piso + CA cerco</t>
  </si>
  <si>
    <t xml:space="preserve">(8.22 + 0.60) × 1.04 = 9.2 → pedir 9.5</t>
  </si>
  <si>
    <t xml:space="preserve">Bomba - vaciado 2 (cobra mínimo 20 m³)</t>
  </si>
  <si>
    <t xml:space="preserve">Columnas de 3.30 m: el mixer solo no llega</t>
  </si>
  <si>
    <t xml:space="preserve">B. MEZCLAS EN OBRA</t>
  </si>
  <si>
    <t xml:space="preserve">Cemento (solado, ciclópeo, sobrecimiento, solera, mortero)</t>
  </si>
  <si>
    <t xml:space="preserve">Solado 17 + ciclópeo 7 + sobrecim. 11 + solera 4 + mortero 20</t>
  </si>
  <si>
    <t xml:space="preserve">Hormigón (solado, ciclópeo, sobrecimiento)</t>
  </si>
  <si>
    <t xml:space="preserve">5.4 + 1.9 + 2.3</t>
  </si>
  <si>
    <t xml:space="preserve">Arena gruesa (solera + mortero de muros)</t>
  </si>
  <si>
    <t xml:space="preserve">0.2 + 87 m² × 0.028</t>
  </si>
  <si>
    <t xml:space="preserve">Piedra chancada 1/2" (solera)</t>
  </si>
  <si>
    <t xml:space="preserve">Piedra grande 6" (ciclópeo 30%)</t>
  </si>
  <si>
    <t xml:space="preserve">Piedra mediana 4" (sobrecimiento 25%)</t>
  </si>
  <si>
    <t xml:space="preserve">C. ACERO (por despiece de barras de 9 m, no por kg)</t>
  </si>
  <si>
    <t xml:space="preserve">VE en ejes 1-5 continua (8.8 m = 1 varilla por barra): 32; VE en ejes A, B, C: 40</t>
  </si>
  <si>
    <t xml:space="preserve">Columnas 136 (arranque 6.00, sobra 3.00 → se usa en zapatas) + zapatas 29 + VE 22 + VC 18 + cerco 2</t>
  </si>
  <si>
    <t xml:space="preserve">Estribos columnas 1,342 kg + cerco 177 kg, +5%</t>
  </si>
  <si>
    <t xml:space="preserve">Estribos VE 381 und (4 por varilla) 96 + VC 86 und 13 + montaje 9 + cerco 16</t>
  </si>
  <si>
    <t xml:space="preserve">Cerco 27 kg</t>
  </si>
  <si>
    <t xml:space="preserve">Alambre N°16 (3% del acero)</t>
  </si>
  <si>
    <t xml:space="preserve">176 kg</t>
  </si>
  <si>
    <t xml:space="preserve">D. ENCOFRADO Y OTROS</t>
  </si>
  <si>
    <t xml:space="preserve">Alambre N°8 (encofrado)</t>
  </si>
  <si>
    <t xml:space="preserve">0.25 kg/m² × 224 m²</t>
  </si>
  <si>
    <t xml:space="preserve">Clavos</t>
  </si>
  <si>
    <t xml:space="preserve">0.15 kg/m² × 224 m²</t>
  </si>
  <si>
    <t xml:space="preserve">Ladrillo KK 18 huecos (+5%)</t>
  </si>
  <si>
    <t xml:space="preserve">86.9 m² × 39 × 1.05</t>
  </si>
  <si>
    <t xml:space="preserve">Tecnopor 4" bajo VE</t>
  </si>
  <si>
    <t xml:space="preserve">7.4 m² ÷ 2.88</t>
  </si>
  <si>
    <t xml:space="preserve">Tecnopor 1" para juntas</t>
  </si>
  <si>
    <t xml:space="preserve">12 m² ÷ 2.88</t>
  </si>
  <si>
    <t xml:space="preserve">Epóxico para anclajes</t>
  </si>
  <si>
    <t xml:space="preserve">8 anclajes</t>
  </si>
  <si>
    <t xml:space="preserve">Impermeabilizante asfáltico (sobrecimiento)</t>
  </si>
  <si>
    <t xml:space="preserve">EQUIPOS Y SERVICIOS QUE PAGA EL CLIENTE</t>
  </si>
  <si>
    <t xml:space="preserve">Nota</t>
  </si>
  <si>
    <t xml:space="preserve">Eliminación de desmonte - volquete 18 m³</t>
  </si>
  <si>
    <t xml:space="preserve">79.5 m³ suelto ÷ 18</t>
  </si>
  <si>
    <t xml:space="preserve">Alquiler de apisonador para relleno</t>
  </si>
  <si>
    <t xml:space="preserve">61 m³ ÷ 8 m³/día</t>
  </si>
  <si>
    <t xml:space="preserve">1 por vaciado</t>
  </si>
  <si>
    <t xml:space="preserve">Combustible apisonador, trompo y vibrador</t>
  </si>
  <si>
    <t xml:space="preserve">Agua para obra</t>
  </si>
  <si>
    <t xml:space="preserve">Flete de fierro y agregados</t>
  </si>
  <si>
    <t xml:space="preserve">Negociar flete gratis en pedido grande</t>
  </si>
  <si>
    <t xml:space="preserve">MANO DE OBRA "POR UN TANTO" - PRECIO AL CLIENTE</t>
  </si>
  <si>
    <t xml:space="preserve">Precio por partida (destajo Lima). La excavación incluye la retroexcavadora y el carguío. Columnas H-J: uso interno (rendimiento de tu cuadrilla operario + ayudante).</t>
  </si>
  <si>
    <t xml:space="preserve">Metrado</t>
  </si>
  <si>
    <t xml:space="preserve">P.U. MO (S/)</t>
  </si>
  <si>
    <t xml:space="preserve">Rend. cuadrilla (und/día)</t>
  </si>
  <si>
    <t xml:space="preserve">Días-cuadrilla</t>
  </si>
  <si>
    <t xml:space="preserve">Excavación con retroexcavadora (zapatas + zanjas) y carguío</t>
  </si>
  <si>
    <t xml:space="preserve">-</t>
  </si>
  <si>
    <t xml:space="preserve">Máquina: ver hoja Mi costo</t>
  </si>
  <si>
    <t xml:space="preserve">Perfilado y nivelación de fondos</t>
  </si>
  <si>
    <t xml:space="preserve">Pozos 54.4 + zanjas VE 17.2 + VC 3.6</t>
  </si>
  <si>
    <t xml:space="preserve">Excavación manual cerco</t>
  </si>
  <si>
    <t xml:space="preserve">Relleno compactado con material propio</t>
  </si>
  <si>
    <t xml:space="preserve">Con apisonador</t>
  </si>
  <si>
    <t xml:space="preserve">Solado</t>
  </si>
  <si>
    <t xml:space="preserve">Cimiento corrido ciclópeo cerco</t>
  </si>
  <si>
    <t xml:space="preserve">Sobrecimiento - vaciado</t>
  </si>
  <si>
    <t xml:space="preserve">Encofrado y desencofrado de sobrecimiento</t>
  </si>
  <si>
    <t xml:space="preserve">04.09a</t>
  </si>
  <si>
    <t xml:space="preserve">Acero zapatas - habilitado y colocado</t>
  </si>
  <si>
    <t xml:space="preserve">04.09b</t>
  </si>
  <si>
    <t xml:space="preserve">Acero VE y VC - habilitado y colocado</t>
  </si>
  <si>
    <t xml:space="preserve">Encofrado y desencofrado VE y VC</t>
  </si>
  <si>
    <t xml:space="preserve">VE 77.7 + VC 5.2</t>
  </si>
  <si>
    <t xml:space="preserve">Colocación de tecnopor bajo VE</t>
  </si>
  <si>
    <t xml:space="preserve">Vaciado y vibrado premezclado - cimentación (40 m³)</t>
  </si>
  <si>
    <t xml:space="preserve">1 día + eventuales</t>
  </si>
  <si>
    <t xml:space="preserve">04.09c</t>
  </si>
  <si>
    <t xml:space="preserve">Acero columnas - habilitado y colocado (estribos densos)</t>
  </si>
  <si>
    <t xml:space="preserve">E-10 nota 5: fierrería alta</t>
  </si>
  <si>
    <t xml:space="preserve">Encofrado y desencofrado columnas (h = 3.30)</t>
  </si>
  <si>
    <t xml:space="preserve">Vaciado y vibrado premezclado - columnas + CA</t>
  </si>
  <si>
    <t xml:space="preserve">Con bomba, 1 día</t>
  </si>
  <si>
    <t xml:space="preserve">04.09d</t>
  </si>
  <si>
    <t xml:space="preserve">Acero cerco</t>
  </si>
  <si>
    <t xml:space="preserve">Encofrado y desencofrado cerco</t>
  </si>
  <si>
    <t xml:space="preserve">04.08c</t>
  </si>
  <si>
    <t xml:space="preserve">Concreto solera cerco (hecho en obra)</t>
  </si>
  <si>
    <t xml:space="preserve">Anclajes con epóxico</t>
  </si>
  <si>
    <t xml:space="preserve">Muro KK de soga - cerco</t>
  </si>
  <si>
    <t xml:space="preserve">Muro KK de soga - perímetro vivienda</t>
  </si>
  <si>
    <t xml:space="preserve">Curado de concreto (riego diario)</t>
  </si>
  <si>
    <t xml:space="preserve">≈ 1 h diaria</t>
  </si>
  <si>
    <t xml:space="preserve">06.03</t>
  </si>
  <si>
    <t xml:space="preserve">Limpieza final</t>
  </si>
  <si>
    <t xml:space="preserve">Dirección técnica y residencia de obra (tú)</t>
  </si>
  <si>
    <t xml:space="preserve">Total</t>
  </si>
  <si>
    <t xml:space="preserve">A cotizar (redondeado)</t>
  </si>
  <si>
    <t xml:space="preserve">MI COSTO REAL Y GANANCIA COMO CONTRATISTA - HOJA INTERNA, NO ENVIAR</t>
  </si>
  <si>
    <t xml:space="preserve">Cuadrilla: 1 operario + 1 ayudante, más tú trabajando y dirigiendo. Jornales informales pagados por día trabajado.</t>
  </si>
  <si>
    <t xml:space="preserve">Valor</t>
  </si>
  <si>
    <t xml:space="preserve">Und / nota</t>
  </si>
  <si>
    <t xml:space="preserve">Días-cuadrilla de trabajo (operario + ayudante)</t>
  </si>
  <si>
    <t xml:space="preserve">Suma de la hoja Mano de obra</t>
  </si>
  <si>
    <t xml:space="preserve">Tu aporte de productividad (trabajando con ellos)</t>
  </si>
  <si>
    <t xml:space="preserve">1.35 = rindes como 1/3 más de cuadrilla (no rindes 100% porque compras, coordinas y supervisas)</t>
  </si>
  <si>
    <t xml:space="preserve">Pérdidas, esperas, lluvia/feriados</t>
  </si>
  <si>
    <t xml:space="preserve">+10%</t>
  </si>
  <si>
    <t xml:space="preserve">DURACIÓN ESTIMADA (días hábiles)</t>
  </si>
  <si>
    <t xml:space="preserve">Lunes a sábado</t>
  </si>
  <si>
    <t xml:space="preserve">Duración en semanas</t>
  </si>
  <si>
    <t xml:space="preserve">semanas</t>
  </si>
  <si>
    <t xml:space="preserve">COSTOS QUE PAGAS TÚ</t>
  </si>
  <si>
    <t xml:space="preserve">Operario: días × jornal</t>
  </si>
  <si>
    <t xml:space="preserve">Ayudante: días × jornal</t>
  </si>
  <si>
    <t xml:space="preserve">Eventuales para vaciados (4 en cimentación + 2 en columnas)</t>
  </si>
  <si>
    <t xml:space="preserve">1 día cada uno</t>
  </si>
  <si>
    <t xml:space="preserve">Retroexcavadora: 13 h (mín. 5 h por día)</t>
  </si>
  <si>
    <t xml:space="preserve">Excavación 111 m³ + carguío de 5 volquetes</t>
  </si>
  <si>
    <t xml:space="preserve">Confirmar si está incluido</t>
  </si>
  <si>
    <t xml:space="preserve">Alquiler / reposición de encofrado</t>
  </si>
  <si>
    <t xml:space="preserve">Mezcladora (4 días) y vibrador (2 días)</t>
  </si>
  <si>
    <t xml:space="preserve">Solados, ciclópeo, sobrecimiento, solera, mortero; vibrado de premezclado</t>
  </si>
  <si>
    <t xml:space="preserve">SCTR + EPP (casco, botas, guantes, lentes)</t>
  </si>
  <si>
    <t xml:space="preserve">Obligatorio tenerlo por seguridad</t>
  </si>
  <si>
    <t xml:space="preserve">Herramientas menores y consumibles (discos, brocas, baldes)</t>
  </si>
  <si>
    <t xml:space="preserve">Movilidad / pasajes propios</t>
  </si>
  <si>
    <t xml:space="preserve">~10 semanas</t>
  </si>
  <si>
    <t xml:space="preserve">TOTAL DE MIS COSTOS</t>
  </si>
  <si>
    <t xml:space="preserve">COBRO DE MANO DE OBRA AL CLIENTE</t>
  </si>
  <si>
    <t xml:space="preserve">Hoja Mano de obra (redondeado)</t>
  </si>
  <si>
    <t xml:space="preserve">MI GANANCIA (incluye pago por mi trabajo y dirección)</t>
  </si>
  <si>
    <t xml:space="preserve">Ganancia por semana</t>
  </si>
  <si>
    <t xml:space="preserve">Compárala con lo que ganarías como operario (~S/ 780/semana)</t>
  </si>
  <si>
    <t xml:space="preserve">Margen sobre lo cobrado</t>
  </si>
  <si>
    <t xml:space="preserve">SENSIBILIDAD - si la obra se demora más</t>
  </si>
  <si>
    <t xml:space="preserve">Días hábiles reales</t>
  </si>
  <si>
    <t xml:space="preserve">Mi ganancia (S/)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</si>
</sst>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0.0%"/>
    <numFmt numFmtId="167" formatCode="0%"/>
    <numFmt numFmtId="168" formatCode="\+#,##0.00;\-#,##0.00;\-"/>
    <numFmt numFmtId="169" formatCode="#,##0.0"/>
    <numFmt numFmtId="170" formatCode="0"/>
    <numFmt numFmtId="171" formatCode="0.0"/>
    <numFmt numFmtId="172" formatCode="#,##0"/>
    <numFmt numFmtId="173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8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4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Materiales!$F$32</f>
        <v>52798.19</v>
      </c>
      <c r="C5" s="6" t="n">
        <f aca="false">B5/$B$10</f>
        <v>0.580909432680188</v>
      </c>
      <c r="D5" s="4" t="s">
        <v>7</v>
      </c>
    </row>
    <row r="6" customFormat="false" ht="15" hidden="false" customHeight="false" outlineLevel="0" collapsed="false">
      <c r="A6" s="4" t="s">
        <v>8</v>
      </c>
      <c r="B6" s="5" t="n">
        <f aca="false">'Equipos y servicios'!$F$11</f>
        <v>4715</v>
      </c>
      <c r="C6" s="6" t="n">
        <f aca="false">B6/$B$10</f>
        <v>0.051876550599312</v>
      </c>
      <c r="D6" s="4" t="s">
        <v>9</v>
      </c>
    </row>
    <row r="7" customFormat="false" ht="15" hidden="false" customHeight="false" outlineLevel="0" collapsed="false">
      <c r="A7" s="4" t="s">
        <v>10</v>
      </c>
      <c r="B7" s="5" t="n">
        <f aca="false">'Mano de obra'!$F$34</f>
        <v>30500</v>
      </c>
      <c r="C7" s="6" t="n">
        <f aca="false">B7/$B$10</f>
        <v>0.335574717556525</v>
      </c>
      <c r="D7" s="4" t="s">
        <v>11</v>
      </c>
    </row>
    <row r="8" customFormat="false" ht="15" hidden="false" customHeight="false" outlineLevel="0" collapsed="false">
      <c r="A8" s="7" t="s">
        <v>12</v>
      </c>
      <c r="B8" s="8" t="n">
        <f aca="false">SUM(B5:B7)</f>
        <v>88013.19</v>
      </c>
      <c r="C8" s="6" t="n">
        <f aca="false">B8/$B$10</f>
        <v>0.968360700836025</v>
      </c>
    </row>
    <row r="9" customFormat="false" ht="15" hidden="false" customHeight="false" outlineLevel="0" collapsed="false">
      <c r="A9" s="4" t="s">
        <v>13</v>
      </c>
      <c r="B9" s="5" t="n">
        <f aca="false">0.05*(B5+B6)</f>
        <v>2875.6595</v>
      </c>
      <c r="C9" s="6" t="n">
        <f aca="false">B9/$B$10</f>
        <v>0.031639299163975</v>
      </c>
      <c r="D9" s="4" t="s">
        <v>14</v>
      </c>
    </row>
    <row r="10" customFormat="false" ht="15" hidden="false" customHeight="false" outlineLevel="0" collapsed="false">
      <c r="A10" s="7" t="s">
        <v>15</v>
      </c>
      <c r="B10" s="8" t="n">
        <f aca="false">B8+B9</f>
        <v>90888.8495</v>
      </c>
      <c r="C10" s="6" t="n">
        <f aca="false">B10/$B$10</f>
        <v>1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3" customFormat="false" ht="15" hidden="false" customHeight="false" outlineLevel="0" collapsed="false">
      <c r="A13" s="9" t="s">
        <v>18</v>
      </c>
    </row>
    <row r="14" customFormat="false" ht="31.5" hidden="false" customHeight="true" outlineLevel="0" collapsed="false">
      <c r="A14" s="3" t="s">
        <v>19</v>
      </c>
      <c r="B14" s="3" t="s">
        <v>3</v>
      </c>
      <c r="C14" s="3" t="s">
        <v>4</v>
      </c>
      <c r="D14" s="3"/>
    </row>
    <row r="15" customFormat="false" ht="15" hidden="false" customHeight="false" outlineLevel="0" collapsed="false">
      <c r="A15" s="4" t="s">
        <v>20</v>
      </c>
      <c r="B15" s="5" t="n">
        <f aca="false">$B$7*C15</f>
        <v>4575</v>
      </c>
      <c r="C15" s="10" t="n">
        <v>0.15</v>
      </c>
    </row>
    <row r="16" customFormat="false" ht="15" hidden="false" customHeight="false" outlineLevel="0" collapsed="false">
      <c r="A16" s="4" t="s">
        <v>21</v>
      </c>
      <c r="B16" s="5" t="n">
        <f aca="false">$B$7*C16</f>
        <v>9150</v>
      </c>
      <c r="C16" s="10" t="n">
        <v>0.3</v>
      </c>
    </row>
    <row r="17" customFormat="false" ht="15" hidden="false" customHeight="false" outlineLevel="0" collapsed="false">
      <c r="A17" s="4" t="s">
        <v>22</v>
      </c>
      <c r="B17" s="5" t="n">
        <f aca="false">$B$7*C17</f>
        <v>3660</v>
      </c>
      <c r="C17" s="10" t="n">
        <v>0.12</v>
      </c>
    </row>
    <row r="18" customFormat="false" ht="15" hidden="false" customHeight="false" outlineLevel="0" collapsed="false">
      <c r="A18" s="4" t="s">
        <v>23</v>
      </c>
      <c r="B18" s="5" t="n">
        <f aca="false">$B$7*C18</f>
        <v>7015</v>
      </c>
      <c r="C18" s="10" t="n">
        <v>0.23</v>
      </c>
    </row>
    <row r="19" customFormat="false" ht="15" hidden="false" customHeight="false" outlineLevel="0" collapsed="false">
      <c r="A19" s="4" t="s">
        <v>24</v>
      </c>
      <c r="B19" s="5" t="n">
        <f aca="false">$B$7*C19</f>
        <v>6100</v>
      </c>
      <c r="C19" s="10" t="n">
        <v>0.2</v>
      </c>
    </row>
    <row r="20" customFormat="false" ht="15" hidden="false" customHeight="false" outlineLevel="0" collapsed="false">
      <c r="A20" s="7" t="s">
        <v>25</v>
      </c>
      <c r="B20" s="8" t="n">
        <f aca="false">SUM(B15:B19)</f>
        <v>30500</v>
      </c>
      <c r="C20" s="11" t="n">
        <f aca="false">SUM(C15:C19)</f>
        <v>1</v>
      </c>
    </row>
    <row r="22" customFormat="false" ht="15" hidden="false" customHeight="false" outlineLevel="0" collapsed="false">
      <c r="A22" s="12" t="s">
        <v>26</v>
      </c>
    </row>
    <row r="23" customFormat="false" ht="15" hidden="false" customHeight="false" outlineLevel="0" collapsed="false">
      <c r="A23" s="12" t="s">
        <v>27</v>
      </c>
    </row>
    <row r="24" customFormat="false" ht="15" hidden="false" customHeight="false" outlineLevel="0" collapsed="false">
      <c r="A24" s="12" t="s">
        <v>28</v>
      </c>
    </row>
    <row r="25" customFormat="false" ht="15" hidden="false" customHeight="false" outlineLevel="0" collapsed="false">
      <c r="A25" s="1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8"/>
    <col collapsed="false" customWidth="true" hidden="false" outlineLevel="0" max="3" min="3" style="0" width="6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80"/>
  </cols>
  <sheetData>
    <row r="1" customFormat="false" ht="16.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31.5" hidden="false" customHeight="true" outlineLevel="0" collapsed="false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</row>
    <row r="5" customFormat="false" ht="15" hidden="false" customHeight="false" outlineLevel="0" collapsed="false">
      <c r="A5" s="13" t="s">
        <v>39</v>
      </c>
      <c r="B5" s="14"/>
      <c r="C5" s="14"/>
      <c r="D5" s="14"/>
      <c r="E5" s="14"/>
      <c r="F5" s="14"/>
      <c r="G5" s="14"/>
    </row>
    <row r="6" customFormat="false" ht="15" hidden="false" customHeight="false" outlineLevel="0" collapsed="false">
      <c r="A6" s="4" t="s">
        <v>40</v>
      </c>
      <c r="B6" s="4" t="s">
        <v>41</v>
      </c>
      <c r="C6" s="4" t="s">
        <v>42</v>
      </c>
      <c r="D6" s="5" t="n">
        <v>170</v>
      </c>
      <c r="E6" s="15" t="n">
        <v>170</v>
      </c>
      <c r="F6" s="16" t="n">
        <f aca="false">E6-D6</f>
        <v>0</v>
      </c>
      <c r="G6" s="17" t="s">
        <v>43</v>
      </c>
    </row>
    <row r="7" customFormat="false" ht="15" hidden="false" customHeight="false" outlineLevel="0" collapsed="false">
      <c r="A7" s="4" t="s">
        <v>44</v>
      </c>
      <c r="B7" s="4" t="s">
        <v>45</v>
      </c>
      <c r="C7" s="4" t="s">
        <v>42</v>
      </c>
      <c r="D7" s="5" t="n">
        <v>170</v>
      </c>
      <c r="E7" s="15" t="n">
        <v>170</v>
      </c>
      <c r="F7" s="16" t="n">
        <f aca="false">E7-D7</f>
        <v>0</v>
      </c>
      <c r="G7" s="17" t="s">
        <v>43</v>
      </c>
    </row>
    <row r="8" customFormat="false" ht="15" hidden="false" customHeight="false" outlineLevel="0" collapsed="false">
      <c r="A8" s="13" t="s">
        <v>46</v>
      </c>
      <c r="B8" s="14"/>
      <c r="C8" s="14"/>
      <c r="D8" s="14"/>
      <c r="E8" s="14"/>
      <c r="F8" s="14"/>
      <c r="G8" s="14"/>
    </row>
    <row r="9" customFormat="false" ht="15" hidden="false" customHeight="false" outlineLevel="0" collapsed="false">
      <c r="A9" s="4" t="s">
        <v>47</v>
      </c>
      <c r="B9" s="4" t="s">
        <v>48</v>
      </c>
      <c r="C9" s="4" t="s">
        <v>49</v>
      </c>
      <c r="D9" s="5" t="n">
        <v>87.1</v>
      </c>
      <c r="E9" s="15" t="n">
        <v>87.1</v>
      </c>
      <c r="F9" s="16" t="n">
        <f aca="false">E9-D9</f>
        <v>0</v>
      </c>
      <c r="G9" s="17" t="s">
        <v>50</v>
      </c>
    </row>
    <row r="10" customFormat="false" ht="15" hidden="false" customHeight="false" outlineLevel="0" collapsed="false">
      <c r="A10" s="4" t="s">
        <v>51</v>
      </c>
      <c r="B10" s="4" t="s">
        <v>52</v>
      </c>
      <c r="C10" s="4" t="s">
        <v>49</v>
      </c>
      <c r="D10" s="5" t="n">
        <v>24.3</v>
      </c>
      <c r="E10" s="15" t="n">
        <v>24.3</v>
      </c>
      <c r="F10" s="16" t="n">
        <f aca="false">E10-D10</f>
        <v>0</v>
      </c>
      <c r="G10" s="17" t="s">
        <v>53</v>
      </c>
    </row>
    <row r="11" customFormat="false" ht="15" hidden="false" customHeight="false" outlineLevel="0" collapsed="false">
      <c r="A11" s="18" t="s">
        <v>54</v>
      </c>
      <c r="B11" s="18" t="s">
        <v>55</v>
      </c>
      <c r="C11" s="18" t="s">
        <v>49</v>
      </c>
      <c r="D11" s="19" t="n">
        <v>5</v>
      </c>
      <c r="E11" s="20" t="n">
        <v>13.3</v>
      </c>
      <c r="F11" s="21" t="n">
        <f aca="false">E11-D11</f>
        <v>8.3</v>
      </c>
      <c r="G11" s="22" t="s">
        <v>56</v>
      </c>
    </row>
    <row r="12" customFormat="false" ht="22.35" hidden="false" customHeight="false" outlineLevel="0" collapsed="false">
      <c r="A12" s="18" t="s">
        <v>57</v>
      </c>
      <c r="B12" s="18" t="s">
        <v>58</v>
      </c>
      <c r="C12" s="18" t="s">
        <v>49</v>
      </c>
      <c r="D12" s="19" t="n">
        <v>79.4</v>
      </c>
      <c r="E12" s="20" t="n">
        <v>61.1</v>
      </c>
      <c r="F12" s="21" t="n">
        <f aca="false">E12-D12</f>
        <v>-18.3</v>
      </c>
      <c r="G12" s="22" t="s">
        <v>59</v>
      </c>
    </row>
    <row r="13" customFormat="false" ht="15" hidden="false" customHeight="false" outlineLevel="0" collapsed="false">
      <c r="A13" s="18" t="s">
        <v>60</v>
      </c>
      <c r="B13" s="18" t="s">
        <v>61</v>
      </c>
      <c r="C13" s="18" t="s">
        <v>49</v>
      </c>
      <c r="D13" s="19" t="n">
        <v>53.5</v>
      </c>
      <c r="E13" s="20" t="n">
        <v>79.5</v>
      </c>
      <c r="F13" s="21" t="n">
        <f aca="false">E13-D13</f>
        <v>26</v>
      </c>
      <c r="G13" s="22" t="s">
        <v>62</v>
      </c>
    </row>
    <row r="14" customFormat="false" ht="15" hidden="false" customHeight="false" outlineLevel="0" collapsed="false">
      <c r="A14" s="13" t="s">
        <v>63</v>
      </c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4" t="s">
        <v>64</v>
      </c>
      <c r="B15" s="4" t="s">
        <v>65</v>
      </c>
      <c r="C15" s="4" t="s">
        <v>42</v>
      </c>
      <c r="D15" s="5" t="n">
        <v>50</v>
      </c>
      <c r="E15" s="15" t="n">
        <v>50</v>
      </c>
      <c r="F15" s="16" t="n">
        <f aca="false">E15-D15</f>
        <v>0</v>
      </c>
      <c r="G15" s="17" t="s">
        <v>66</v>
      </c>
    </row>
    <row r="16" customFormat="false" ht="15" hidden="false" customHeight="false" outlineLevel="0" collapsed="false">
      <c r="A16" s="4" t="s">
        <v>67</v>
      </c>
      <c r="B16" s="4" t="s">
        <v>68</v>
      </c>
      <c r="C16" s="4" t="s">
        <v>49</v>
      </c>
      <c r="D16" s="5" t="n">
        <v>2.2</v>
      </c>
      <c r="E16" s="15" t="n">
        <v>2.2</v>
      </c>
      <c r="F16" s="16" t="n">
        <f aca="false">E16-D16</f>
        <v>0</v>
      </c>
      <c r="G16" s="17" t="s">
        <v>69</v>
      </c>
    </row>
    <row r="17" customFormat="false" ht="15" hidden="false" customHeight="false" outlineLevel="0" collapsed="false">
      <c r="A17" s="4" t="s">
        <v>70</v>
      </c>
      <c r="B17" s="4" t="s">
        <v>71</v>
      </c>
      <c r="C17" s="4" t="s">
        <v>49</v>
      </c>
      <c r="D17" s="5" t="n">
        <v>2.7</v>
      </c>
      <c r="E17" s="15" t="n">
        <v>2.7</v>
      </c>
      <c r="F17" s="16" t="n">
        <f aca="false">E17-D17</f>
        <v>0</v>
      </c>
      <c r="G17" s="17" t="s">
        <v>72</v>
      </c>
    </row>
    <row r="18" customFormat="false" ht="15" hidden="false" customHeight="false" outlineLevel="0" collapsed="false">
      <c r="A18" s="4" t="s">
        <v>73</v>
      </c>
      <c r="B18" s="4" t="s">
        <v>74</v>
      </c>
      <c r="C18" s="4" t="s">
        <v>42</v>
      </c>
      <c r="D18" s="5" t="n">
        <v>35.4</v>
      </c>
      <c r="E18" s="15" t="n">
        <v>35.4</v>
      </c>
      <c r="F18" s="16" t="n">
        <f aca="false">E18-D18</f>
        <v>0</v>
      </c>
      <c r="G18" s="17" t="s">
        <v>75</v>
      </c>
    </row>
    <row r="19" customFormat="false" ht="15" hidden="false" customHeight="false" outlineLevel="0" collapsed="false">
      <c r="A19" s="13" t="s">
        <v>76</v>
      </c>
      <c r="B19" s="14"/>
      <c r="C19" s="14"/>
      <c r="D19" s="14"/>
      <c r="E19" s="14"/>
      <c r="F19" s="14"/>
      <c r="G19" s="14"/>
    </row>
    <row r="20" customFormat="false" ht="15" hidden="false" customHeight="false" outlineLevel="0" collapsed="false">
      <c r="A20" s="4" t="s">
        <v>77</v>
      </c>
      <c r="B20" s="4" t="s">
        <v>78</v>
      </c>
      <c r="C20" s="4" t="s">
        <v>49</v>
      </c>
      <c r="D20" s="5" t="n">
        <v>23.4</v>
      </c>
      <c r="E20" s="15" t="n">
        <v>23.4</v>
      </c>
      <c r="F20" s="16" t="n">
        <f aca="false">E20-D20</f>
        <v>0</v>
      </c>
      <c r="G20" s="17" t="s">
        <v>79</v>
      </c>
    </row>
    <row r="21" customFormat="false" ht="22.35" hidden="false" customHeight="false" outlineLevel="0" collapsed="false">
      <c r="A21" s="18" t="s">
        <v>80</v>
      </c>
      <c r="B21" s="18" t="s">
        <v>81</v>
      </c>
      <c r="C21" s="18" t="s">
        <v>49</v>
      </c>
      <c r="D21" s="19" t="n">
        <v>5.2</v>
      </c>
      <c r="E21" s="20" t="n">
        <v>11.65</v>
      </c>
      <c r="F21" s="21" t="n">
        <f aca="false">E21-D21</f>
        <v>6.45</v>
      </c>
      <c r="G21" s="22" t="s">
        <v>82</v>
      </c>
    </row>
    <row r="22" customFormat="false" ht="15" hidden="false" customHeight="false" outlineLevel="0" collapsed="false">
      <c r="A22" s="18" t="s">
        <v>83</v>
      </c>
      <c r="B22" s="18" t="s">
        <v>84</v>
      </c>
      <c r="C22" s="18" t="s">
        <v>42</v>
      </c>
      <c r="D22" s="19" t="n">
        <v>34.4</v>
      </c>
      <c r="E22" s="20" t="n">
        <v>77.7</v>
      </c>
      <c r="F22" s="21" t="n">
        <f aca="false">E22-D22</f>
        <v>43.3</v>
      </c>
      <c r="G22" s="22" t="s">
        <v>85</v>
      </c>
    </row>
    <row r="23" customFormat="false" ht="15" hidden="false" customHeight="false" outlineLevel="0" collapsed="false">
      <c r="A23" s="4" t="s">
        <v>86</v>
      </c>
      <c r="B23" s="4" t="s">
        <v>87</v>
      </c>
      <c r="C23" s="4" t="s">
        <v>42</v>
      </c>
      <c r="D23" s="5" t="n">
        <v>7.4</v>
      </c>
      <c r="E23" s="15" t="n">
        <v>7.4</v>
      </c>
      <c r="F23" s="16" t="n">
        <f aca="false">E23-D23</f>
        <v>0</v>
      </c>
      <c r="G23" s="17" t="s">
        <v>88</v>
      </c>
    </row>
    <row r="24" customFormat="false" ht="15" hidden="false" customHeight="false" outlineLevel="0" collapsed="false">
      <c r="A24" s="4" t="s">
        <v>89</v>
      </c>
      <c r="B24" s="4" t="s">
        <v>90</v>
      </c>
      <c r="C24" s="4" t="s">
        <v>49</v>
      </c>
      <c r="D24" s="5" t="n">
        <v>0.7</v>
      </c>
      <c r="E24" s="15" t="n">
        <v>0.66</v>
      </c>
      <c r="F24" s="16" t="n">
        <f aca="false">E24-D24</f>
        <v>-0.0399999999999999</v>
      </c>
      <c r="G24" s="17" t="s">
        <v>91</v>
      </c>
    </row>
    <row r="25" customFormat="false" ht="15" hidden="false" customHeight="false" outlineLevel="0" collapsed="false">
      <c r="A25" s="4" t="s">
        <v>92</v>
      </c>
      <c r="B25" s="4" t="s">
        <v>93</v>
      </c>
      <c r="C25" s="4" t="s">
        <v>42</v>
      </c>
      <c r="D25" s="5" t="n">
        <v>5.2</v>
      </c>
      <c r="E25" s="15" t="n">
        <v>5.2</v>
      </c>
      <c r="F25" s="16" t="n">
        <f aca="false">E25-D25</f>
        <v>0</v>
      </c>
      <c r="G25" s="17" t="s">
        <v>94</v>
      </c>
    </row>
    <row r="26" customFormat="false" ht="15" hidden="false" customHeight="false" outlineLevel="0" collapsed="false">
      <c r="A26" s="4" t="s">
        <v>95</v>
      </c>
      <c r="B26" s="4" t="s">
        <v>96</v>
      </c>
      <c r="C26" s="4" t="s">
        <v>49</v>
      </c>
      <c r="D26" s="5" t="n">
        <v>8.2</v>
      </c>
      <c r="E26" s="15" t="n">
        <v>8.22</v>
      </c>
      <c r="F26" s="16" t="n">
        <f aca="false">E26-D26</f>
        <v>0.0200000000000014</v>
      </c>
      <c r="G26" s="17" t="s">
        <v>97</v>
      </c>
    </row>
    <row r="27" customFormat="false" ht="15" hidden="false" customHeight="false" outlineLevel="0" collapsed="false">
      <c r="A27" s="4" t="s">
        <v>98</v>
      </c>
      <c r="B27" s="4" t="s">
        <v>99</v>
      </c>
      <c r="C27" s="4" t="s">
        <v>42</v>
      </c>
      <c r="D27" s="5" t="n">
        <v>83.5</v>
      </c>
      <c r="E27" s="15" t="n">
        <v>83.5</v>
      </c>
      <c r="F27" s="16" t="n">
        <f aca="false">E27-D27</f>
        <v>0</v>
      </c>
      <c r="G27" s="17" t="s">
        <v>100</v>
      </c>
    </row>
    <row r="28" customFormat="false" ht="15" hidden="false" customHeight="false" outlineLevel="0" collapsed="false">
      <c r="A28" s="4" t="s">
        <v>101</v>
      </c>
      <c r="B28" s="4" t="s">
        <v>102</v>
      </c>
      <c r="C28" s="4" t="s">
        <v>49</v>
      </c>
      <c r="D28" s="5" t="n">
        <v>3.5</v>
      </c>
      <c r="E28" s="15" t="n">
        <v>3.5</v>
      </c>
      <c r="F28" s="16" t="n">
        <f aca="false">E28-D28</f>
        <v>0</v>
      </c>
      <c r="G28" s="17" t="s">
        <v>103</v>
      </c>
    </row>
    <row r="29" customFormat="false" ht="15" hidden="false" customHeight="false" outlineLevel="0" collapsed="false">
      <c r="A29" s="4" t="s">
        <v>104</v>
      </c>
      <c r="B29" s="4" t="s">
        <v>105</v>
      </c>
      <c r="C29" s="4" t="s">
        <v>42</v>
      </c>
      <c r="D29" s="5" t="n">
        <v>21.9</v>
      </c>
      <c r="E29" s="15" t="n">
        <v>21.9</v>
      </c>
      <c r="F29" s="16" t="n">
        <f aca="false">E29-D29</f>
        <v>0</v>
      </c>
      <c r="G29" s="17" t="s">
        <v>106</v>
      </c>
    </row>
    <row r="30" customFormat="false" ht="22.35" hidden="false" customHeight="false" outlineLevel="0" collapsed="false">
      <c r="A30" s="18" t="s">
        <v>107</v>
      </c>
      <c r="B30" s="18" t="s">
        <v>108</v>
      </c>
      <c r="C30" s="18" t="s">
        <v>109</v>
      </c>
      <c r="D30" s="19" t="n">
        <v>4881</v>
      </c>
      <c r="E30" s="20" t="n">
        <v>5870</v>
      </c>
      <c r="F30" s="21" t="n">
        <f aca="false">E30-D30</f>
        <v>989</v>
      </c>
      <c r="G30" s="22" t="s">
        <v>110</v>
      </c>
    </row>
    <row r="31" customFormat="false" ht="15" hidden="false" customHeight="false" outlineLevel="0" collapsed="false">
      <c r="A31" s="4" t="s">
        <v>111</v>
      </c>
      <c r="B31" s="4" t="s">
        <v>112</v>
      </c>
      <c r="C31" s="4" t="s">
        <v>113</v>
      </c>
      <c r="D31" s="5" t="n">
        <v>8</v>
      </c>
      <c r="E31" s="15" t="n">
        <v>8</v>
      </c>
      <c r="F31" s="16" t="n">
        <f aca="false">E31-D31</f>
        <v>0</v>
      </c>
      <c r="G31" s="17"/>
    </row>
    <row r="32" customFormat="false" ht="15" hidden="false" customHeight="false" outlineLevel="0" collapsed="false">
      <c r="A32" s="13" t="s">
        <v>114</v>
      </c>
      <c r="B32" s="14"/>
      <c r="C32" s="14"/>
      <c r="D32" s="14"/>
      <c r="E32" s="14"/>
      <c r="F32" s="14"/>
      <c r="G32" s="14"/>
    </row>
    <row r="33" customFormat="false" ht="15" hidden="false" customHeight="false" outlineLevel="0" collapsed="false">
      <c r="A33" s="4" t="s">
        <v>115</v>
      </c>
      <c r="B33" s="4" t="s">
        <v>116</v>
      </c>
      <c r="C33" s="4" t="s">
        <v>42</v>
      </c>
      <c r="D33" s="5" t="n">
        <v>29.8</v>
      </c>
      <c r="E33" s="15" t="n">
        <v>29.8</v>
      </c>
      <c r="F33" s="16" t="n">
        <f aca="false">E33-D33</f>
        <v>0</v>
      </c>
      <c r="G33" s="17" t="s">
        <v>106</v>
      </c>
    </row>
    <row r="34" customFormat="false" ht="15" hidden="false" customHeight="false" outlineLevel="0" collapsed="false">
      <c r="A34" s="4" t="s">
        <v>117</v>
      </c>
      <c r="B34" s="4" t="s">
        <v>118</v>
      </c>
      <c r="C34" s="4" t="s">
        <v>42</v>
      </c>
      <c r="D34" s="5" t="n">
        <v>57.1</v>
      </c>
      <c r="E34" s="15" t="n">
        <v>57.1</v>
      </c>
      <c r="F34" s="16" t="n">
        <f aca="false">E34-D34</f>
        <v>0</v>
      </c>
      <c r="G34" s="17" t="s">
        <v>119</v>
      </c>
    </row>
    <row r="35" customFormat="false" ht="15" hidden="false" customHeight="false" outlineLevel="0" collapsed="false">
      <c r="A35" s="4" t="s">
        <v>120</v>
      </c>
      <c r="B35" s="4" t="s">
        <v>121</v>
      </c>
      <c r="C35" s="4" t="s">
        <v>122</v>
      </c>
      <c r="D35" s="5" t="n">
        <v>42</v>
      </c>
      <c r="E35" s="15" t="n">
        <v>42</v>
      </c>
      <c r="F35" s="16" t="n">
        <f aca="false">E35-D35</f>
        <v>0</v>
      </c>
      <c r="G35" s="17" t="s">
        <v>123</v>
      </c>
    </row>
    <row r="36" customFormat="false" ht="15" hidden="false" customHeight="false" outlineLevel="0" collapsed="false">
      <c r="A36" s="13" t="s">
        <v>124</v>
      </c>
      <c r="B36" s="14"/>
      <c r="C36" s="14"/>
      <c r="D36" s="14"/>
      <c r="E36" s="14"/>
      <c r="F36" s="14"/>
      <c r="G36" s="14"/>
    </row>
    <row r="37" customFormat="false" ht="15" hidden="false" customHeight="false" outlineLevel="0" collapsed="false">
      <c r="A37" s="4" t="s">
        <v>125</v>
      </c>
      <c r="B37" s="4" t="s">
        <v>126</v>
      </c>
      <c r="C37" s="4" t="s">
        <v>127</v>
      </c>
      <c r="D37" s="5" t="n">
        <v>1</v>
      </c>
      <c r="E37" s="15" t="n">
        <v>1</v>
      </c>
      <c r="F37" s="16" t="n">
        <f aca="false">E37-D37</f>
        <v>0</v>
      </c>
      <c r="G37" s="17"/>
    </row>
    <row r="38" customFormat="false" ht="15" hidden="false" customHeight="false" outlineLevel="0" collapsed="false">
      <c r="A38" s="4" t="s">
        <v>128</v>
      </c>
      <c r="B38" s="4" t="s">
        <v>129</v>
      </c>
      <c r="C38" s="4" t="s">
        <v>130</v>
      </c>
      <c r="D38" s="5" t="n">
        <v>5</v>
      </c>
      <c r="E38" s="15" t="n">
        <v>5</v>
      </c>
      <c r="F38" s="16" t="n">
        <f aca="false">E38-D38</f>
        <v>0</v>
      </c>
      <c r="G38" s="17"/>
    </row>
    <row r="40" customFormat="false" ht="15" hidden="false" customHeight="false" outlineLevel="0" collapsed="false">
      <c r="A40" s="23" t="s">
        <v>131</v>
      </c>
    </row>
    <row r="41" customFormat="false" ht="15" hidden="false" customHeight="false" outlineLevel="0" collapsed="false">
      <c r="A41" s="23" t="s">
        <v>132</v>
      </c>
    </row>
    <row r="42" customFormat="false" ht="15" hidden="false" customHeight="false" outlineLevel="0" collapsed="false">
      <c r="A42" s="23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55"/>
  </cols>
  <sheetData>
    <row r="1" customFormat="false" ht="16.1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31.5" hidden="false" customHeight="true" outlineLevel="0" collapsed="false">
      <c r="A4" s="3" t="s">
        <v>136</v>
      </c>
      <c r="B4" s="3" t="s">
        <v>137</v>
      </c>
      <c r="C4" s="3" t="s">
        <v>34</v>
      </c>
      <c r="D4" s="3" t="s">
        <v>138</v>
      </c>
      <c r="E4" s="3" t="s">
        <v>139</v>
      </c>
    </row>
    <row r="5" customFormat="false" ht="15" hidden="false" customHeight="false" outlineLevel="0" collapsed="false">
      <c r="A5" s="4" t="s">
        <v>140</v>
      </c>
      <c r="B5" s="4" t="s">
        <v>141</v>
      </c>
      <c r="C5" s="4" t="s">
        <v>49</v>
      </c>
      <c r="D5" s="15" t="n">
        <v>320</v>
      </c>
      <c r="E5" s="4" t="s">
        <v>142</v>
      </c>
    </row>
    <row r="6" customFormat="false" ht="15" hidden="false" customHeight="false" outlineLevel="0" collapsed="false">
      <c r="A6" s="4" t="s">
        <v>143</v>
      </c>
      <c r="B6" s="4" t="s">
        <v>144</v>
      </c>
      <c r="C6" s="4" t="s">
        <v>49</v>
      </c>
      <c r="D6" s="15" t="n">
        <v>38</v>
      </c>
      <c r="E6" s="4" t="s">
        <v>145</v>
      </c>
    </row>
    <row r="7" customFormat="false" ht="15" hidden="false" customHeight="false" outlineLevel="0" collapsed="false">
      <c r="A7" s="4" t="s">
        <v>146</v>
      </c>
      <c r="B7" s="4" t="s">
        <v>147</v>
      </c>
      <c r="C7" s="4" t="s">
        <v>148</v>
      </c>
      <c r="D7" s="15" t="n">
        <v>28.6</v>
      </c>
      <c r="E7" s="4" t="s">
        <v>149</v>
      </c>
    </row>
    <row r="8" customFormat="false" ht="15" hidden="false" customHeight="false" outlineLevel="0" collapsed="false">
      <c r="A8" s="4" t="s">
        <v>150</v>
      </c>
      <c r="B8" s="4" t="s">
        <v>151</v>
      </c>
      <c r="C8" s="4" t="s">
        <v>49</v>
      </c>
      <c r="D8" s="15" t="n">
        <v>65</v>
      </c>
      <c r="E8" s="4" t="s">
        <v>152</v>
      </c>
    </row>
    <row r="9" customFormat="false" ht="15" hidden="false" customHeight="false" outlineLevel="0" collapsed="false">
      <c r="A9" s="4" t="s">
        <v>153</v>
      </c>
      <c r="B9" s="4" t="s">
        <v>154</v>
      </c>
      <c r="C9" s="4" t="s">
        <v>49</v>
      </c>
      <c r="D9" s="15" t="n">
        <v>80</v>
      </c>
      <c r="E9" s="4" t="s">
        <v>152</v>
      </c>
    </row>
    <row r="10" customFormat="false" ht="15" hidden="false" customHeight="false" outlineLevel="0" collapsed="false">
      <c r="A10" s="4" t="s">
        <v>155</v>
      </c>
      <c r="B10" s="4" t="s">
        <v>156</v>
      </c>
      <c r="C10" s="4" t="s">
        <v>49</v>
      </c>
      <c r="D10" s="15" t="n">
        <v>60</v>
      </c>
      <c r="E10" s="4" t="s">
        <v>152</v>
      </c>
    </row>
    <row r="11" customFormat="false" ht="15" hidden="false" customHeight="false" outlineLevel="0" collapsed="false">
      <c r="A11" s="4" t="s">
        <v>157</v>
      </c>
      <c r="B11" s="4" t="s">
        <v>158</v>
      </c>
      <c r="C11" s="4" t="s">
        <v>49</v>
      </c>
      <c r="D11" s="15" t="n">
        <v>50</v>
      </c>
      <c r="E11" s="4" t="s">
        <v>152</v>
      </c>
    </row>
    <row r="12" customFormat="false" ht="15" hidden="false" customHeight="false" outlineLevel="0" collapsed="false">
      <c r="A12" s="4" t="s">
        <v>159</v>
      </c>
      <c r="B12" s="4" t="s">
        <v>160</v>
      </c>
      <c r="C12" s="4" t="s">
        <v>49</v>
      </c>
      <c r="D12" s="15" t="n">
        <v>50</v>
      </c>
      <c r="E12" s="4" t="s">
        <v>152</v>
      </c>
    </row>
    <row r="13" customFormat="false" ht="15" hidden="false" customHeight="false" outlineLevel="0" collapsed="false">
      <c r="A13" s="4" t="s">
        <v>161</v>
      </c>
      <c r="B13" s="4" t="s">
        <v>162</v>
      </c>
      <c r="C13" s="4" t="s">
        <v>163</v>
      </c>
      <c r="D13" s="15" t="n">
        <v>80.02</v>
      </c>
      <c r="E13" s="4" t="s">
        <v>149</v>
      </c>
    </row>
    <row r="14" customFormat="false" ht="15" hidden="false" customHeight="false" outlineLevel="0" collapsed="false">
      <c r="A14" s="4" t="s">
        <v>164</v>
      </c>
      <c r="B14" s="4" t="s">
        <v>165</v>
      </c>
      <c r="C14" s="4" t="s">
        <v>163</v>
      </c>
      <c r="D14" s="15" t="n">
        <v>54.41</v>
      </c>
      <c r="E14" s="4" t="s">
        <v>149</v>
      </c>
    </row>
    <row r="15" customFormat="false" ht="15" hidden="false" customHeight="false" outlineLevel="0" collapsed="false">
      <c r="A15" s="4" t="s">
        <v>166</v>
      </c>
      <c r="B15" s="4" t="s">
        <v>167</v>
      </c>
      <c r="C15" s="4" t="s">
        <v>163</v>
      </c>
      <c r="D15" s="15" t="n">
        <v>35.96</v>
      </c>
      <c r="E15" s="4" t="s">
        <v>149</v>
      </c>
    </row>
    <row r="16" customFormat="false" ht="15" hidden="false" customHeight="false" outlineLevel="0" collapsed="false">
      <c r="A16" s="4" t="s">
        <v>168</v>
      </c>
      <c r="B16" s="4" t="s">
        <v>169</v>
      </c>
      <c r="C16" s="4" t="s">
        <v>163</v>
      </c>
      <c r="D16" s="15" t="n">
        <v>20.06</v>
      </c>
      <c r="E16" s="4" t="s">
        <v>149</v>
      </c>
    </row>
    <row r="17" customFormat="false" ht="15" hidden="false" customHeight="false" outlineLevel="0" collapsed="false">
      <c r="A17" s="4" t="s">
        <v>170</v>
      </c>
      <c r="B17" s="4" t="s">
        <v>171</v>
      </c>
      <c r="C17" s="4" t="s">
        <v>163</v>
      </c>
      <c r="D17" s="15" t="n">
        <v>7.96</v>
      </c>
      <c r="E17" s="4" t="s">
        <v>149</v>
      </c>
    </row>
    <row r="18" customFormat="false" ht="15" hidden="false" customHeight="false" outlineLevel="0" collapsed="false">
      <c r="A18" s="4" t="s">
        <v>172</v>
      </c>
      <c r="B18" s="4" t="s">
        <v>173</v>
      </c>
      <c r="C18" s="4" t="s">
        <v>174</v>
      </c>
      <c r="D18" s="15" t="n">
        <v>349.9</v>
      </c>
      <c r="E18" s="4" t="s">
        <v>149</v>
      </c>
    </row>
    <row r="19" customFormat="false" ht="15" hidden="false" customHeight="false" outlineLevel="0" collapsed="false">
      <c r="A19" s="4" t="s">
        <v>175</v>
      </c>
      <c r="B19" s="4" t="s">
        <v>176</v>
      </c>
      <c r="C19" s="4" t="s">
        <v>109</v>
      </c>
      <c r="D19" s="15" t="n">
        <v>6.5</v>
      </c>
      <c r="E19" s="4" t="s">
        <v>177</v>
      </c>
    </row>
    <row r="20" customFormat="false" ht="15" hidden="false" customHeight="false" outlineLevel="0" collapsed="false">
      <c r="A20" s="4" t="s">
        <v>178</v>
      </c>
      <c r="B20" s="4" t="s">
        <v>179</v>
      </c>
      <c r="C20" s="4" t="s">
        <v>109</v>
      </c>
      <c r="D20" s="15" t="n">
        <v>7.5</v>
      </c>
      <c r="E20" s="4" t="s">
        <v>152</v>
      </c>
    </row>
    <row r="21" customFormat="false" ht="15" hidden="false" customHeight="false" outlineLevel="0" collapsed="false">
      <c r="A21" s="4" t="s">
        <v>180</v>
      </c>
      <c r="B21" s="4" t="s">
        <v>181</v>
      </c>
      <c r="C21" s="4" t="s">
        <v>113</v>
      </c>
      <c r="D21" s="15" t="n">
        <v>1.14</v>
      </c>
      <c r="E21" s="4" t="s">
        <v>182</v>
      </c>
    </row>
    <row r="22" customFormat="false" ht="15" hidden="false" customHeight="false" outlineLevel="0" collapsed="false">
      <c r="A22" s="4" t="s">
        <v>183</v>
      </c>
      <c r="B22" s="4" t="s">
        <v>184</v>
      </c>
      <c r="C22" s="4" t="s">
        <v>185</v>
      </c>
      <c r="D22" s="15" t="n">
        <v>55</v>
      </c>
      <c r="E22" s="4" t="s">
        <v>152</v>
      </c>
    </row>
    <row r="23" customFormat="false" ht="15" hidden="false" customHeight="false" outlineLevel="0" collapsed="false">
      <c r="A23" s="4" t="s">
        <v>186</v>
      </c>
      <c r="B23" s="4" t="s">
        <v>187</v>
      </c>
      <c r="C23" s="4" t="s">
        <v>185</v>
      </c>
      <c r="D23" s="15" t="n">
        <v>16</v>
      </c>
      <c r="E23" s="4" t="s">
        <v>152</v>
      </c>
    </row>
    <row r="24" customFormat="false" ht="15" hidden="false" customHeight="false" outlineLevel="0" collapsed="false">
      <c r="A24" s="4" t="s">
        <v>188</v>
      </c>
      <c r="B24" s="4" t="s">
        <v>189</v>
      </c>
      <c r="C24" s="4" t="s">
        <v>113</v>
      </c>
      <c r="D24" s="15" t="n">
        <v>120</v>
      </c>
      <c r="E24" s="4" t="s">
        <v>177</v>
      </c>
    </row>
    <row r="25" customFormat="false" ht="15" hidden="false" customHeight="false" outlineLevel="0" collapsed="false">
      <c r="A25" s="4" t="s">
        <v>190</v>
      </c>
      <c r="B25" s="4" t="s">
        <v>191</v>
      </c>
      <c r="C25" s="4" t="s">
        <v>192</v>
      </c>
      <c r="D25" s="15" t="n">
        <v>45</v>
      </c>
      <c r="E25" s="4" t="s">
        <v>152</v>
      </c>
    </row>
    <row r="26" customFormat="false" ht="15" hidden="false" customHeight="false" outlineLevel="0" collapsed="false">
      <c r="A26" s="4" t="s">
        <v>193</v>
      </c>
      <c r="B26" s="4" t="s">
        <v>194</v>
      </c>
      <c r="C26" s="4" t="s">
        <v>195</v>
      </c>
      <c r="D26" s="15" t="n">
        <v>460</v>
      </c>
      <c r="E26" s="4" t="s">
        <v>196</v>
      </c>
    </row>
    <row r="27" customFormat="false" ht="15" hidden="false" customHeight="false" outlineLevel="0" collapsed="false">
      <c r="A27" s="4" t="s">
        <v>197</v>
      </c>
      <c r="B27" s="4" t="s">
        <v>198</v>
      </c>
      <c r="C27" s="4" t="s">
        <v>199</v>
      </c>
      <c r="D27" s="15" t="n">
        <v>130</v>
      </c>
      <c r="E27" s="4" t="s">
        <v>152</v>
      </c>
    </row>
    <row r="28" customFormat="false" ht="15" hidden="false" customHeight="false" outlineLevel="0" collapsed="false">
      <c r="A28" s="4" t="s">
        <v>200</v>
      </c>
      <c r="B28" s="4" t="s">
        <v>201</v>
      </c>
      <c r="C28" s="4" t="s">
        <v>130</v>
      </c>
      <c r="D28" s="15" t="n">
        <v>75</v>
      </c>
      <c r="E28" s="4" t="s">
        <v>152</v>
      </c>
    </row>
    <row r="29" customFormat="false" ht="15" hidden="false" customHeight="false" outlineLevel="0" collapsed="false">
      <c r="A29" s="4" t="s">
        <v>202</v>
      </c>
      <c r="B29" s="4" t="s">
        <v>203</v>
      </c>
      <c r="C29" s="4" t="s">
        <v>192</v>
      </c>
      <c r="D29" s="15" t="n">
        <v>20</v>
      </c>
      <c r="E29" s="4" t="s">
        <v>152</v>
      </c>
    </row>
    <row r="30" customFormat="false" ht="15" hidden="false" customHeight="false" outlineLevel="0" collapsed="false">
      <c r="A30" s="4" t="s">
        <v>204</v>
      </c>
      <c r="B30" s="4" t="s">
        <v>205</v>
      </c>
      <c r="C30" s="4" t="s">
        <v>206</v>
      </c>
      <c r="D30" s="15" t="n">
        <v>150</v>
      </c>
      <c r="E30" s="4" t="s">
        <v>207</v>
      </c>
    </row>
    <row r="31" customFormat="false" ht="15" hidden="false" customHeight="false" outlineLevel="0" collapsed="false">
      <c r="A31" s="4" t="s">
        <v>208</v>
      </c>
      <c r="B31" s="4" t="s">
        <v>209</v>
      </c>
      <c r="C31" s="4" t="s">
        <v>127</v>
      </c>
      <c r="D31" s="15" t="n">
        <v>300</v>
      </c>
      <c r="E31" s="4" t="s">
        <v>210</v>
      </c>
    </row>
    <row r="32" customFormat="false" ht="15" hidden="false" customHeight="false" outlineLevel="0" collapsed="false">
      <c r="A32" s="4" t="s">
        <v>211</v>
      </c>
      <c r="B32" s="4" t="s">
        <v>212</v>
      </c>
      <c r="C32" s="4" t="s">
        <v>199</v>
      </c>
      <c r="D32" s="15" t="n">
        <v>130</v>
      </c>
      <c r="E32" s="4" t="s">
        <v>213</v>
      </c>
    </row>
    <row r="33" customFormat="false" ht="15" hidden="false" customHeight="false" outlineLevel="0" collapsed="false">
      <c r="A33" s="4" t="s">
        <v>214</v>
      </c>
      <c r="B33" s="4" t="s">
        <v>215</v>
      </c>
      <c r="C33" s="4" t="s">
        <v>199</v>
      </c>
      <c r="D33" s="15" t="n">
        <v>80</v>
      </c>
      <c r="E33" s="4" t="s">
        <v>216</v>
      </c>
    </row>
    <row r="34" customFormat="false" ht="15" hidden="false" customHeight="false" outlineLevel="0" collapsed="false">
      <c r="A34" s="4" t="s">
        <v>217</v>
      </c>
      <c r="B34" s="4" t="s">
        <v>218</v>
      </c>
      <c r="C34" s="4" t="s">
        <v>199</v>
      </c>
      <c r="D34" s="15" t="n">
        <v>100</v>
      </c>
      <c r="E34" s="4" t="s">
        <v>177</v>
      </c>
    </row>
    <row r="35" customFormat="false" ht="15" hidden="false" customHeight="false" outlineLevel="0" collapsed="false">
      <c r="A35" s="4" t="s">
        <v>219</v>
      </c>
      <c r="B35" s="4" t="s">
        <v>220</v>
      </c>
      <c r="C35" s="4" t="s">
        <v>199</v>
      </c>
      <c r="D35" s="15" t="n">
        <v>80</v>
      </c>
      <c r="E35" s="4" t="s">
        <v>177</v>
      </c>
    </row>
    <row r="36" customFormat="false" ht="15" hidden="false" customHeight="false" outlineLevel="0" collapsed="false">
      <c r="A36" s="4" t="s">
        <v>221</v>
      </c>
      <c r="B36" s="4" t="s">
        <v>222</v>
      </c>
      <c r="C36" s="4" t="s">
        <v>127</v>
      </c>
      <c r="D36" s="15" t="n">
        <v>2500</v>
      </c>
      <c r="E36" s="4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70"/>
  </cols>
  <sheetData>
    <row r="1" customFormat="false" ht="16.1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 t="s">
        <v>225</v>
      </c>
    </row>
    <row r="4" customFormat="false" ht="31.5" hidden="false" customHeight="true" outlineLevel="0" collapsed="false">
      <c r="A4" s="3" t="s">
        <v>226</v>
      </c>
      <c r="B4" s="3" t="s">
        <v>227</v>
      </c>
      <c r="C4" s="3" t="s">
        <v>34</v>
      </c>
      <c r="D4" s="3" t="s">
        <v>228</v>
      </c>
      <c r="E4" s="3" t="s">
        <v>229</v>
      </c>
      <c r="F4" s="3" t="s">
        <v>230</v>
      </c>
      <c r="G4" s="3" t="s">
        <v>231</v>
      </c>
    </row>
    <row r="5" customFormat="false" ht="15" hidden="false" customHeight="false" outlineLevel="0" collapsed="false">
      <c r="A5" s="13" t="s">
        <v>232</v>
      </c>
      <c r="B5" s="14"/>
      <c r="C5" s="14"/>
      <c r="D5" s="14"/>
      <c r="E5" s="14"/>
      <c r="F5" s="14"/>
      <c r="G5" s="14"/>
    </row>
    <row r="6" customFormat="false" ht="15" hidden="false" customHeight="false" outlineLevel="0" collapsed="false">
      <c r="A6" s="4" t="n">
        <v>1</v>
      </c>
      <c r="B6" s="4" t="s">
        <v>233</v>
      </c>
      <c r="C6" s="4" t="s">
        <v>49</v>
      </c>
      <c r="D6" s="24" t="n">
        <v>40</v>
      </c>
      <c r="E6" s="5" t="n">
        <f aca="false">Precios!$D$5</f>
        <v>320</v>
      </c>
      <c r="F6" s="5" t="n">
        <f aca="false">D6*E6</f>
        <v>12800</v>
      </c>
      <c r="G6" s="4" t="s">
        <v>234</v>
      </c>
    </row>
    <row r="7" customFormat="false" ht="15" hidden="false" customHeight="false" outlineLevel="0" collapsed="false">
      <c r="A7" s="4" t="n">
        <v>2</v>
      </c>
      <c r="B7" s="4" t="s">
        <v>235</v>
      </c>
      <c r="C7" s="4" t="s">
        <v>49</v>
      </c>
      <c r="D7" s="24" t="n">
        <v>40</v>
      </c>
      <c r="E7" s="5" t="n">
        <f aca="false">Precios!$D$6</f>
        <v>38</v>
      </c>
      <c r="F7" s="5" t="n">
        <f aca="false">D7*E7</f>
        <v>1520</v>
      </c>
      <c r="G7" s="4"/>
    </row>
    <row r="8" customFormat="false" ht="15" hidden="false" customHeight="false" outlineLevel="0" collapsed="false">
      <c r="A8" s="4" t="n">
        <v>3</v>
      </c>
      <c r="B8" s="4" t="s">
        <v>236</v>
      </c>
      <c r="C8" s="4" t="s">
        <v>49</v>
      </c>
      <c r="D8" s="24" t="n">
        <v>9.5</v>
      </c>
      <c r="E8" s="5" t="n">
        <f aca="false">Precios!$D$5</f>
        <v>320</v>
      </c>
      <c r="F8" s="5" t="n">
        <f aca="false">D8*E8</f>
        <v>3040</v>
      </c>
      <c r="G8" s="4" t="s">
        <v>237</v>
      </c>
    </row>
    <row r="9" customFormat="false" ht="15" hidden="false" customHeight="false" outlineLevel="0" collapsed="false">
      <c r="A9" s="4" t="n">
        <v>4</v>
      </c>
      <c r="B9" s="4" t="s">
        <v>238</v>
      </c>
      <c r="C9" s="4" t="s">
        <v>49</v>
      </c>
      <c r="D9" s="24" t="n">
        <v>20</v>
      </c>
      <c r="E9" s="5" t="n">
        <f aca="false">Precios!$D$6</f>
        <v>38</v>
      </c>
      <c r="F9" s="5" t="n">
        <f aca="false">D9*E9</f>
        <v>760</v>
      </c>
      <c r="G9" s="4" t="s">
        <v>239</v>
      </c>
    </row>
    <row r="10" customFormat="false" ht="15" hidden="false" customHeight="false" outlineLevel="0" collapsed="false">
      <c r="A10" s="13" t="s">
        <v>240</v>
      </c>
      <c r="B10" s="14"/>
      <c r="C10" s="14"/>
      <c r="D10" s="14"/>
      <c r="E10" s="14"/>
      <c r="F10" s="14"/>
      <c r="G10" s="14"/>
    </row>
    <row r="11" customFormat="false" ht="15" hidden="false" customHeight="false" outlineLevel="0" collapsed="false">
      <c r="A11" s="4" t="n">
        <v>5</v>
      </c>
      <c r="B11" s="4" t="s">
        <v>241</v>
      </c>
      <c r="C11" s="4" t="s">
        <v>148</v>
      </c>
      <c r="D11" s="24" t="n">
        <v>59</v>
      </c>
      <c r="E11" s="5" t="n">
        <f aca="false">Precios!$D$7</f>
        <v>28.6</v>
      </c>
      <c r="F11" s="5" t="n">
        <f aca="false">D11*E11</f>
        <v>1687.4</v>
      </c>
      <c r="G11" s="4" t="s">
        <v>242</v>
      </c>
    </row>
    <row r="12" customFormat="false" ht="15" hidden="false" customHeight="false" outlineLevel="0" collapsed="false">
      <c r="A12" s="4" t="n">
        <v>6</v>
      </c>
      <c r="B12" s="4" t="s">
        <v>243</v>
      </c>
      <c r="C12" s="4" t="s">
        <v>49</v>
      </c>
      <c r="D12" s="24" t="n">
        <v>9.6</v>
      </c>
      <c r="E12" s="5" t="n">
        <f aca="false">Precios!$D$10</f>
        <v>60</v>
      </c>
      <c r="F12" s="5" t="n">
        <f aca="false">D12*E12</f>
        <v>576</v>
      </c>
      <c r="G12" s="4" t="s">
        <v>244</v>
      </c>
    </row>
    <row r="13" customFormat="false" ht="15" hidden="false" customHeight="false" outlineLevel="0" collapsed="false">
      <c r="A13" s="4" t="n">
        <v>7</v>
      </c>
      <c r="B13" s="4" t="s">
        <v>245</v>
      </c>
      <c r="C13" s="4" t="s">
        <v>49</v>
      </c>
      <c r="D13" s="24" t="n">
        <v>2.7</v>
      </c>
      <c r="E13" s="5" t="n">
        <f aca="false">Precios!$D$8</f>
        <v>65</v>
      </c>
      <c r="F13" s="5" t="n">
        <f aca="false">D13*E13</f>
        <v>175.5</v>
      </c>
      <c r="G13" s="4" t="s">
        <v>246</v>
      </c>
    </row>
    <row r="14" customFormat="false" ht="15" hidden="false" customHeight="false" outlineLevel="0" collapsed="false">
      <c r="A14" s="4" t="n">
        <v>8</v>
      </c>
      <c r="B14" s="4" t="s">
        <v>247</v>
      </c>
      <c r="C14" s="4" t="s">
        <v>49</v>
      </c>
      <c r="D14" s="24" t="n">
        <v>0.2</v>
      </c>
      <c r="E14" s="5" t="n">
        <f aca="false">Precios!$D$9</f>
        <v>80</v>
      </c>
      <c r="F14" s="5" t="n">
        <f aca="false">D14*E14</f>
        <v>16</v>
      </c>
      <c r="G14" s="4"/>
    </row>
    <row r="15" customFormat="false" ht="15" hidden="false" customHeight="false" outlineLevel="0" collapsed="false">
      <c r="A15" s="4" t="n">
        <v>9</v>
      </c>
      <c r="B15" s="4" t="s">
        <v>248</v>
      </c>
      <c r="C15" s="4" t="s">
        <v>49</v>
      </c>
      <c r="D15" s="24" t="n">
        <v>1.2</v>
      </c>
      <c r="E15" s="5" t="n">
        <f aca="false">Precios!$D$11</f>
        <v>50</v>
      </c>
      <c r="F15" s="5" t="n">
        <f aca="false">D15*E15</f>
        <v>60</v>
      </c>
      <c r="G15" s="4"/>
    </row>
    <row r="16" customFormat="false" ht="15" hidden="false" customHeight="false" outlineLevel="0" collapsed="false">
      <c r="A16" s="4" t="n">
        <v>10</v>
      </c>
      <c r="B16" s="4" t="s">
        <v>249</v>
      </c>
      <c r="C16" s="4" t="s">
        <v>49</v>
      </c>
      <c r="D16" s="24" t="n">
        <v>1.1</v>
      </c>
      <c r="E16" s="5" t="n">
        <f aca="false">Precios!$D$12</f>
        <v>50</v>
      </c>
      <c r="F16" s="5" t="n">
        <f aca="false">D16*E16</f>
        <v>55</v>
      </c>
      <c r="G16" s="4"/>
    </row>
    <row r="17" customFormat="false" ht="15" hidden="false" customHeight="false" outlineLevel="0" collapsed="false">
      <c r="A17" s="13" t="s">
        <v>250</v>
      </c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4" t="n">
        <v>11</v>
      </c>
      <c r="B18" s="4" t="s">
        <v>162</v>
      </c>
      <c r="C18" s="4" t="s">
        <v>163</v>
      </c>
      <c r="D18" s="24" t="n">
        <v>72</v>
      </c>
      <c r="E18" s="5" t="n">
        <f aca="false">Precios!$D$13</f>
        <v>80.02</v>
      </c>
      <c r="F18" s="5" t="n">
        <f aca="false">D18*E18</f>
        <v>5761.44</v>
      </c>
      <c r="G18" s="4" t="s">
        <v>251</v>
      </c>
    </row>
    <row r="19" customFormat="false" ht="15" hidden="false" customHeight="false" outlineLevel="0" collapsed="false">
      <c r="A19" s="4" t="n">
        <v>12</v>
      </c>
      <c r="B19" s="4" t="s">
        <v>165</v>
      </c>
      <c r="C19" s="4" t="s">
        <v>163</v>
      </c>
      <c r="D19" s="24" t="n">
        <v>207</v>
      </c>
      <c r="E19" s="5" t="n">
        <f aca="false">Precios!$D$14</f>
        <v>54.41</v>
      </c>
      <c r="F19" s="5" t="n">
        <f aca="false">D19*E19</f>
        <v>11262.87</v>
      </c>
      <c r="G19" s="4" t="s">
        <v>252</v>
      </c>
    </row>
    <row r="20" customFormat="false" ht="15" hidden="false" customHeight="false" outlineLevel="0" collapsed="false">
      <c r="A20" s="4" t="n">
        <v>13</v>
      </c>
      <c r="B20" s="4" t="s">
        <v>167</v>
      </c>
      <c r="C20" s="4" t="s">
        <v>163</v>
      </c>
      <c r="D20" s="24" t="n">
        <v>179</v>
      </c>
      <c r="E20" s="5" t="n">
        <f aca="false">Precios!$D$15</f>
        <v>35.96</v>
      </c>
      <c r="F20" s="5" t="n">
        <f aca="false">D20*E20</f>
        <v>6436.84</v>
      </c>
      <c r="G20" s="4" t="s">
        <v>253</v>
      </c>
    </row>
    <row r="21" customFormat="false" ht="15" hidden="false" customHeight="false" outlineLevel="0" collapsed="false">
      <c r="A21" s="4" t="n">
        <v>14</v>
      </c>
      <c r="B21" s="4" t="s">
        <v>169</v>
      </c>
      <c r="C21" s="4" t="s">
        <v>163</v>
      </c>
      <c r="D21" s="24" t="n">
        <v>134</v>
      </c>
      <c r="E21" s="5" t="n">
        <f aca="false">Precios!$D$16</f>
        <v>20.06</v>
      </c>
      <c r="F21" s="5" t="n">
        <f aca="false">D21*E21</f>
        <v>2688.04</v>
      </c>
      <c r="G21" s="4" t="s">
        <v>254</v>
      </c>
    </row>
    <row r="22" customFormat="false" ht="15" hidden="false" customHeight="false" outlineLevel="0" collapsed="false">
      <c r="A22" s="4" t="n">
        <v>15</v>
      </c>
      <c r="B22" s="4" t="s">
        <v>171</v>
      </c>
      <c r="C22" s="4" t="s">
        <v>163</v>
      </c>
      <c r="D22" s="24" t="n">
        <v>15</v>
      </c>
      <c r="E22" s="5" t="n">
        <f aca="false">Precios!$D$17</f>
        <v>7.96</v>
      </c>
      <c r="F22" s="5" t="n">
        <f aca="false">D22*E22</f>
        <v>119.4</v>
      </c>
      <c r="G22" s="4" t="s">
        <v>255</v>
      </c>
    </row>
    <row r="23" customFormat="false" ht="15" hidden="false" customHeight="false" outlineLevel="0" collapsed="false">
      <c r="A23" s="4" t="n">
        <v>16</v>
      </c>
      <c r="B23" s="4" t="s">
        <v>256</v>
      </c>
      <c r="C23" s="4" t="s">
        <v>174</v>
      </c>
      <c r="D23" s="24" t="n">
        <v>2</v>
      </c>
      <c r="E23" s="5" t="n">
        <f aca="false">Precios!$D$18</f>
        <v>349.9</v>
      </c>
      <c r="F23" s="5" t="n">
        <f aca="false">D23*E23</f>
        <v>699.8</v>
      </c>
      <c r="G23" s="4" t="s">
        <v>257</v>
      </c>
    </row>
    <row r="24" customFormat="false" ht="15" hidden="false" customHeight="false" outlineLevel="0" collapsed="false">
      <c r="A24" s="13" t="s">
        <v>258</v>
      </c>
      <c r="B24" s="14"/>
      <c r="C24" s="14"/>
      <c r="D24" s="14"/>
      <c r="E24" s="14"/>
      <c r="F24" s="14"/>
      <c r="G24" s="14"/>
    </row>
    <row r="25" customFormat="false" ht="15" hidden="false" customHeight="false" outlineLevel="0" collapsed="false">
      <c r="A25" s="4" t="n">
        <v>17</v>
      </c>
      <c r="B25" s="4" t="s">
        <v>259</v>
      </c>
      <c r="C25" s="4" t="s">
        <v>109</v>
      </c>
      <c r="D25" s="24" t="n">
        <v>56</v>
      </c>
      <c r="E25" s="5" t="n">
        <f aca="false">Precios!$D$19</f>
        <v>6.5</v>
      </c>
      <c r="F25" s="5" t="n">
        <f aca="false">D25*E25</f>
        <v>364</v>
      </c>
      <c r="G25" s="4" t="s">
        <v>260</v>
      </c>
    </row>
    <row r="26" customFormat="false" ht="15" hidden="false" customHeight="false" outlineLevel="0" collapsed="false">
      <c r="A26" s="4" t="n">
        <v>18</v>
      </c>
      <c r="B26" s="4" t="s">
        <v>261</v>
      </c>
      <c r="C26" s="4" t="s">
        <v>109</v>
      </c>
      <c r="D26" s="24" t="n">
        <v>35</v>
      </c>
      <c r="E26" s="5" t="n">
        <f aca="false">Precios!$D$20</f>
        <v>7.5</v>
      </c>
      <c r="F26" s="5" t="n">
        <f aca="false">D26*E26</f>
        <v>262.5</v>
      </c>
      <c r="G26" s="4" t="s">
        <v>262</v>
      </c>
    </row>
    <row r="27" customFormat="false" ht="15" hidden="false" customHeight="false" outlineLevel="0" collapsed="false">
      <c r="A27" s="4" t="n">
        <v>19</v>
      </c>
      <c r="B27" s="4" t="s">
        <v>263</v>
      </c>
      <c r="C27" s="4" t="s">
        <v>113</v>
      </c>
      <c r="D27" s="24" t="n">
        <v>3560</v>
      </c>
      <c r="E27" s="5" t="n">
        <f aca="false">Precios!$D$21</f>
        <v>1.14</v>
      </c>
      <c r="F27" s="5" t="n">
        <f aca="false">D27*E27</f>
        <v>4058.4</v>
      </c>
      <c r="G27" s="4" t="s">
        <v>264</v>
      </c>
    </row>
    <row r="28" customFormat="false" ht="15" hidden="false" customHeight="false" outlineLevel="0" collapsed="false">
      <c r="A28" s="4" t="n">
        <v>20</v>
      </c>
      <c r="B28" s="4" t="s">
        <v>265</v>
      </c>
      <c r="C28" s="4" t="s">
        <v>185</v>
      </c>
      <c r="D28" s="24" t="n">
        <v>3</v>
      </c>
      <c r="E28" s="5" t="n">
        <f aca="false">Precios!$D$22</f>
        <v>55</v>
      </c>
      <c r="F28" s="5" t="n">
        <f aca="false">D28*E28</f>
        <v>165</v>
      </c>
      <c r="G28" s="4" t="s">
        <v>266</v>
      </c>
    </row>
    <row r="29" customFormat="false" ht="15" hidden="false" customHeight="false" outlineLevel="0" collapsed="false">
      <c r="A29" s="4" t="n">
        <v>21</v>
      </c>
      <c r="B29" s="4" t="s">
        <v>267</v>
      </c>
      <c r="C29" s="4" t="s">
        <v>185</v>
      </c>
      <c r="D29" s="24" t="n">
        <v>5</v>
      </c>
      <c r="E29" s="5" t="n">
        <f aca="false">Precios!$D$23</f>
        <v>16</v>
      </c>
      <c r="F29" s="5" t="n">
        <f aca="false">D29*E29</f>
        <v>80</v>
      </c>
      <c r="G29" s="4" t="s">
        <v>268</v>
      </c>
    </row>
    <row r="30" customFormat="false" ht="15" hidden="false" customHeight="false" outlineLevel="0" collapsed="false">
      <c r="A30" s="4" t="n">
        <v>22</v>
      </c>
      <c r="B30" s="4" t="s">
        <v>269</v>
      </c>
      <c r="C30" s="4" t="s">
        <v>113</v>
      </c>
      <c r="D30" s="24" t="n">
        <v>1</v>
      </c>
      <c r="E30" s="5" t="n">
        <f aca="false">Precios!$D$24</f>
        <v>120</v>
      </c>
      <c r="F30" s="5" t="n">
        <f aca="false">D30*E30</f>
        <v>120</v>
      </c>
      <c r="G30" s="4" t="s">
        <v>270</v>
      </c>
    </row>
    <row r="31" customFormat="false" ht="15" hidden="false" customHeight="false" outlineLevel="0" collapsed="false">
      <c r="A31" s="4" t="n">
        <v>23</v>
      </c>
      <c r="B31" s="4" t="s">
        <v>271</v>
      </c>
      <c r="C31" s="4" t="s">
        <v>192</v>
      </c>
      <c r="D31" s="24" t="n">
        <v>2</v>
      </c>
      <c r="E31" s="5" t="n">
        <f aca="false">Precios!$D$25</f>
        <v>45</v>
      </c>
      <c r="F31" s="5" t="n">
        <f aca="false">D31*E31</f>
        <v>90</v>
      </c>
      <c r="G31" s="4"/>
    </row>
    <row r="32" customFormat="false" ht="15" hidden="false" customHeight="false" outlineLevel="0" collapsed="false">
      <c r="E32" s="7" t="s">
        <v>25</v>
      </c>
      <c r="F32" s="8" t="n">
        <f aca="false">SUM(F5:F31)</f>
        <v>52798.19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6"/>
  </cols>
  <sheetData>
    <row r="1" customFormat="false" ht="16.1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2"/>
    </row>
    <row r="4" customFormat="false" ht="31.5" hidden="false" customHeight="true" outlineLevel="0" collapsed="false">
      <c r="A4" s="3" t="s">
        <v>226</v>
      </c>
      <c r="B4" s="3" t="s">
        <v>2</v>
      </c>
      <c r="C4" s="3" t="s">
        <v>34</v>
      </c>
      <c r="D4" s="3" t="s">
        <v>228</v>
      </c>
      <c r="E4" s="3" t="s">
        <v>229</v>
      </c>
      <c r="F4" s="3" t="s">
        <v>230</v>
      </c>
      <c r="G4" s="3" t="s">
        <v>273</v>
      </c>
    </row>
    <row r="5" customFormat="false" ht="15" hidden="false" customHeight="false" outlineLevel="0" collapsed="false">
      <c r="A5" s="4" t="n">
        <v>1</v>
      </c>
      <c r="B5" s="4" t="s">
        <v>274</v>
      </c>
      <c r="C5" s="4" t="s">
        <v>195</v>
      </c>
      <c r="D5" s="24" t="n">
        <v>5</v>
      </c>
      <c r="E5" s="5" t="n">
        <f aca="false">Precios!$D$26</f>
        <v>460</v>
      </c>
      <c r="F5" s="5" t="n">
        <f aca="false">D5*E5</f>
        <v>2300</v>
      </c>
      <c r="G5" s="4" t="s">
        <v>275</v>
      </c>
    </row>
    <row r="6" customFormat="false" ht="15" hidden="false" customHeight="false" outlineLevel="0" collapsed="false">
      <c r="A6" s="4" t="n">
        <v>2</v>
      </c>
      <c r="B6" s="4" t="s">
        <v>276</v>
      </c>
      <c r="C6" s="4" t="s">
        <v>199</v>
      </c>
      <c r="D6" s="24" t="n">
        <v>8</v>
      </c>
      <c r="E6" s="5" t="n">
        <f aca="false">Precios!$D$27</f>
        <v>130</v>
      </c>
      <c r="F6" s="5" t="n">
        <f aca="false">D6*E6</f>
        <v>1040</v>
      </c>
      <c r="G6" s="4" t="s">
        <v>277</v>
      </c>
    </row>
    <row r="7" customFormat="false" ht="15" hidden="false" customHeight="false" outlineLevel="0" collapsed="false">
      <c r="A7" s="4" t="n">
        <v>3</v>
      </c>
      <c r="B7" s="4" t="s">
        <v>129</v>
      </c>
      <c r="C7" s="4" t="s">
        <v>130</v>
      </c>
      <c r="D7" s="24" t="n">
        <v>5</v>
      </c>
      <c r="E7" s="5" t="n">
        <f aca="false">Precios!$D$28</f>
        <v>75</v>
      </c>
      <c r="F7" s="5" t="n">
        <f aca="false">D7*E7</f>
        <v>375</v>
      </c>
      <c r="G7" s="4" t="s">
        <v>278</v>
      </c>
    </row>
    <row r="8" customFormat="false" ht="15" hidden="false" customHeight="false" outlineLevel="0" collapsed="false">
      <c r="A8" s="4" t="n">
        <v>4</v>
      </c>
      <c r="B8" s="4" t="s">
        <v>279</v>
      </c>
      <c r="C8" s="4" t="s">
        <v>192</v>
      </c>
      <c r="D8" s="24" t="n">
        <v>20</v>
      </c>
      <c r="E8" s="5" t="n">
        <f aca="false">Precios!$D$29</f>
        <v>20</v>
      </c>
      <c r="F8" s="5" t="n">
        <f aca="false">D8*E8</f>
        <v>400</v>
      </c>
      <c r="G8" s="4"/>
    </row>
    <row r="9" customFormat="false" ht="15" hidden="false" customHeight="false" outlineLevel="0" collapsed="false">
      <c r="A9" s="4" t="n">
        <v>5</v>
      </c>
      <c r="B9" s="4" t="s">
        <v>280</v>
      </c>
      <c r="C9" s="4" t="s">
        <v>127</v>
      </c>
      <c r="D9" s="25" t="n">
        <v>1</v>
      </c>
      <c r="E9" s="15" t="n">
        <v>300</v>
      </c>
      <c r="F9" s="5" t="n">
        <f aca="false">D9*E9</f>
        <v>300</v>
      </c>
      <c r="G9" s="4"/>
    </row>
    <row r="10" customFormat="false" ht="15" hidden="false" customHeight="false" outlineLevel="0" collapsed="false">
      <c r="A10" s="4" t="n">
        <v>6</v>
      </c>
      <c r="B10" s="4" t="s">
        <v>281</v>
      </c>
      <c r="C10" s="4" t="s">
        <v>127</v>
      </c>
      <c r="D10" s="25" t="n">
        <v>1</v>
      </c>
      <c r="E10" s="15" t="n">
        <v>300</v>
      </c>
      <c r="F10" s="5" t="n">
        <f aca="false">D10*E10</f>
        <v>300</v>
      </c>
      <c r="G10" s="4" t="s">
        <v>282</v>
      </c>
    </row>
    <row r="11" customFormat="false" ht="15" hidden="false" customHeight="false" outlineLevel="0" collapsed="false">
      <c r="E11" s="7" t="s">
        <v>25</v>
      </c>
      <c r="F11" s="8" t="n">
        <f aca="false">SUM(F5:F10)</f>
        <v>4715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6"/>
    <col collapsed="false" customWidth="true" hidden="false" outlineLevel="0" max="3" min="3" style="0" width="6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30"/>
  </cols>
  <sheetData>
    <row r="1" customFormat="false" ht="16.15" hidden="false" customHeight="false" outlineLevel="0" collapsed="false">
      <c r="A1" s="1" t="s">
        <v>283</v>
      </c>
    </row>
    <row r="2" customFormat="false" ht="15" hidden="false" customHeight="false" outlineLevel="0" collapsed="false">
      <c r="A2" s="2" t="s">
        <v>284</v>
      </c>
    </row>
    <row r="4" customFormat="false" ht="31.5" hidden="false" customHeight="true" outlineLevel="0" collapsed="false">
      <c r="A4" s="3" t="s">
        <v>32</v>
      </c>
      <c r="B4" s="3" t="s">
        <v>33</v>
      </c>
      <c r="C4" s="3" t="s">
        <v>34</v>
      </c>
      <c r="D4" s="3" t="s">
        <v>285</v>
      </c>
      <c r="E4" s="3" t="s">
        <v>286</v>
      </c>
      <c r="F4" s="3" t="s">
        <v>230</v>
      </c>
      <c r="G4" s="3"/>
      <c r="H4" s="3" t="s">
        <v>287</v>
      </c>
      <c r="I4" s="3" t="s">
        <v>288</v>
      </c>
      <c r="J4" s="3" t="s">
        <v>273</v>
      </c>
    </row>
    <row r="5" customFormat="false" ht="15" hidden="false" customHeight="false" outlineLevel="0" collapsed="false">
      <c r="A5" s="4" t="s">
        <v>40</v>
      </c>
      <c r="B5" s="4" t="s">
        <v>41</v>
      </c>
      <c r="C5" s="4" t="s">
        <v>42</v>
      </c>
      <c r="D5" s="5" t="n">
        <f aca="false">Metrados!$E$6</f>
        <v>170</v>
      </c>
      <c r="E5" s="15" t="n">
        <v>2</v>
      </c>
      <c r="F5" s="5" t="n">
        <f aca="false">D5*E5</f>
        <v>340</v>
      </c>
      <c r="H5" s="24" t="n">
        <v>170</v>
      </c>
      <c r="I5" s="26" t="n">
        <f aca="false">D5/H5</f>
        <v>1</v>
      </c>
      <c r="J5" s="4"/>
    </row>
    <row r="6" customFormat="false" ht="15" hidden="false" customHeight="false" outlineLevel="0" collapsed="false">
      <c r="A6" s="4" t="s">
        <v>44</v>
      </c>
      <c r="B6" s="4" t="s">
        <v>45</v>
      </c>
      <c r="C6" s="4" t="s">
        <v>42</v>
      </c>
      <c r="D6" s="5" t="n">
        <f aca="false">Metrados!$E$7</f>
        <v>170</v>
      </c>
      <c r="E6" s="15" t="n">
        <v>3</v>
      </c>
      <c r="F6" s="5" t="n">
        <f aca="false">D6*E6</f>
        <v>510</v>
      </c>
      <c r="H6" s="24" t="n">
        <v>170</v>
      </c>
      <c r="I6" s="26" t="n">
        <f aca="false">D6/H6</f>
        <v>1</v>
      </c>
      <c r="J6" s="4"/>
    </row>
    <row r="7" customFormat="false" ht="15" hidden="false" customHeight="false" outlineLevel="0" collapsed="false">
      <c r="A7" s="4" t="s">
        <v>47</v>
      </c>
      <c r="B7" s="4" t="s">
        <v>289</v>
      </c>
      <c r="C7" s="4" t="s">
        <v>49</v>
      </c>
      <c r="D7" s="5" t="n">
        <f aca="false">Metrados!$E$9+Metrados!$E$10</f>
        <v>111.4</v>
      </c>
      <c r="E7" s="15" t="n">
        <v>32</v>
      </c>
      <c r="F7" s="5" t="n">
        <f aca="false">D7*E7</f>
        <v>3564.8</v>
      </c>
      <c r="H7" s="4" t="s">
        <v>290</v>
      </c>
      <c r="I7" s="26" t="n">
        <v>0</v>
      </c>
      <c r="J7" s="4" t="s">
        <v>291</v>
      </c>
    </row>
    <row r="8" customFormat="false" ht="15" hidden="false" customHeight="false" outlineLevel="0" collapsed="false">
      <c r="A8" s="4" t="s">
        <v>51</v>
      </c>
      <c r="B8" s="4" t="s">
        <v>292</v>
      </c>
      <c r="C8" s="4" t="s">
        <v>42</v>
      </c>
      <c r="D8" s="15" t="n">
        <v>75.2</v>
      </c>
      <c r="E8" s="15" t="n">
        <v>6</v>
      </c>
      <c r="F8" s="5" t="n">
        <f aca="false">D8*E8</f>
        <v>451.2</v>
      </c>
      <c r="H8" s="24" t="n">
        <v>25</v>
      </c>
      <c r="I8" s="26" t="n">
        <f aca="false">D8/H8</f>
        <v>3.008</v>
      </c>
      <c r="J8" s="4" t="s">
        <v>293</v>
      </c>
    </row>
    <row r="9" customFormat="false" ht="15" hidden="false" customHeight="false" outlineLevel="0" collapsed="false">
      <c r="A9" s="4" t="s">
        <v>54</v>
      </c>
      <c r="B9" s="4" t="s">
        <v>294</v>
      </c>
      <c r="C9" s="4" t="s">
        <v>49</v>
      </c>
      <c r="D9" s="5" t="n">
        <f aca="false">Metrados!$E$11</f>
        <v>13.3</v>
      </c>
      <c r="E9" s="15" t="n">
        <v>45</v>
      </c>
      <c r="F9" s="5" t="n">
        <f aca="false">D9*E9</f>
        <v>598.5</v>
      </c>
      <c r="H9" s="24" t="n">
        <v>4</v>
      </c>
      <c r="I9" s="26" t="n">
        <f aca="false">D9/H9</f>
        <v>3.325</v>
      </c>
      <c r="J9" s="4"/>
    </row>
    <row r="10" customFormat="false" ht="15" hidden="false" customHeight="false" outlineLevel="0" collapsed="false">
      <c r="A10" s="4" t="s">
        <v>57</v>
      </c>
      <c r="B10" s="4" t="s">
        <v>295</v>
      </c>
      <c r="C10" s="4" t="s">
        <v>49</v>
      </c>
      <c r="D10" s="5" t="n">
        <f aca="false">Metrados!$E$12</f>
        <v>61.1</v>
      </c>
      <c r="E10" s="15" t="n">
        <v>30</v>
      </c>
      <c r="F10" s="5" t="n">
        <f aca="false">D10*E10</f>
        <v>1833</v>
      </c>
      <c r="H10" s="24" t="n">
        <v>8</v>
      </c>
      <c r="I10" s="26" t="n">
        <f aca="false">D10/H10</f>
        <v>7.6375</v>
      </c>
      <c r="J10" s="4" t="s">
        <v>296</v>
      </c>
    </row>
    <row r="11" customFormat="false" ht="15" hidden="false" customHeight="false" outlineLevel="0" collapsed="false">
      <c r="A11" s="4" t="s">
        <v>64</v>
      </c>
      <c r="B11" s="4" t="s">
        <v>297</v>
      </c>
      <c r="C11" s="4" t="s">
        <v>42</v>
      </c>
      <c r="D11" s="5" t="n">
        <f aca="false">Metrados!$E$15</f>
        <v>50</v>
      </c>
      <c r="E11" s="15" t="n">
        <v>15</v>
      </c>
      <c r="F11" s="5" t="n">
        <f aca="false">D11*E11</f>
        <v>750</v>
      </c>
      <c r="H11" s="24" t="n">
        <v>35</v>
      </c>
      <c r="I11" s="26" t="n">
        <f aca="false">D11/H11</f>
        <v>1.42857142857143</v>
      </c>
      <c r="J11" s="4"/>
    </row>
    <row r="12" customFormat="false" ht="15" hidden="false" customHeight="false" outlineLevel="0" collapsed="false">
      <c r="A12" s="4" t="s">
        <v>67</v>
      </c>
      <c r="B12" s="4" t="s">
        <v>298</v>
      </c>
      <c r="C12" s="4" t="s">
        <v>49</v>
      </c>
      <c r="D12" s="5" t="n">
        <f aca="false">Metrados!$E$16</f>
        <v>2.2</v>
      </c>
      <c r="E12" s="15" t="n">
        <v>90</v>
      </c>
      <c r="F12" s="5" t="n">
        <f aca="false">D12*E12</f>
        <v>198</v>
      </c>
      <c r="H12" s="24" t="n">
        <v>4</v>
      </c>
      <c r="I12" s="26" t="n">
        <f aca="false">D12/H12</f>
        <v>0.55</v>
      </c>
      <c r="J12" s="4"/>
    </row>
    <row r="13" customFormat="false" ht="15" hidden="false" customHeight="false" outlineLevel="0" collapsed="false">
      <c r="A13" s="4" t="s">
        <v>70</v>
      </c>
      <c r="B13" s="4" t="s">
        <v>299</v>
      </c>
      <c r="C13" s="4" t="s">
        <v>49</v>
      </c>
      <c r="D13" s="5" t="n">
        <f aca="false">Metrados!$E$17</f>
        <v>2.7</v>
      </c>
      <c r="E13" s="15" t="n">
        <v>120</v>
      </c>
      <c r="F13" s="5" t="n">
        <f aca="false">D13*E13</f>
        <v>324</v>
      </c>
      <c r="H13" s="24" t="n">
        <v>3</v>
      </c>
      <c r="I13" s="26" t="n">
        <f aca="false">D13/H13</f>
        <v>0.9</v>
      </c>
      <c r="J13" s="4"/>
    </row>
    <row r="14" customFormat="false" ht="15" hidden="false" customHeight="false" outlineLevel="0" collapsed="false">
      <c r="A14" s="4" t="s">
        <v>73</v>
      </c>
      <c r="B14" s="4" t="s">
        <v>300</v>
      </c>
      <c r="C14" s="4" t="s">
        <v>42</v>
      </c>
      <c r="D14" s="5" t="n">
        <f aca="false">Metrados!$E$18</f>
        <v>35.4</v>
      </c>
      <c r="E14" s="15" t="n">
        <v>22</v>
      </c>
      <c r="F14" s="5" t="n">
        <f aca="false">D14*E14</f>
        <v>778.8</v>
      </c>
      <c r="H14" s="24" t="n">
        <v>14</v>
      </c>
      <c r="I14" s="26" t="n">
        <f aca="false">D14/H14</f>
        <v>2.52857142857143</v>
      </c>
      <c r="J14" s="4"/>
    </row>
    <row r="15" customFormat="false" ht="15" hidden="false" customHeight="false" outlineLevel="0" collapsed="false">
      <c r="A15" s="4" t="s">
        <v>301</v>
      </c>
      <c r="B15" s="4" t="s">
        <v>302</v>
      </c>
      <c r="C15" s="4" t="s">
        <v>109</v>
      </c>
      <c r="D15" s="15" t="n">
        <v>823</v>
      </c>
      <c r="E15" s="15" t="n">
        <v>1.1</v>
      </c>
      <c r="F15" s="5" t="n">
        <f aca="false">D15*E15</f>
        <v>905.3</v>
      </c>
      <c r="H15" s="24" t="n">
        <v>350</v>
      </c>
      <c r="I15" s="26" t="n">
        <f aca="false">D15/H15</f>
        <v>2.35142857142857</v>
      </c>
      <c r="J15" s="4"/>
    </row>
    <row r="16" customFormat="false" ht="15" hidden="false" customHeight="false" outlineLevel="0" collapsed="false">
      <c r="A16" s="4" t="s">
        <v>303</v>
      </c>
      <c r="B16" s="4" t="s">
        <v>304</v>
      </c>
      <c r="C16" s="4" t="s">
        <v>109</v>
      </c>
      <c r="D16" s="15" t="n">
        <v>2097</v>
      </c>
      <c r="E16" s="15" t="n">
        <v>1.1</v>
      </c>
      <c r="F16" s="5" t="n">
        <f aca="false">D16*E16</f>
        <v>2306.7</v>
      </c>
      <c r="H16" s="24" t="n">
        <v>250</v>
      </c>
      <c r="I16" s="26" t="n">
        <f aca="false">D16/H16</f>
        <v>8.388</v>
      </c>
      <c r="J16" s="4"/>
    </row>
    <row r="17" customFormat="false" ht="15" hidden="false" customHeight="false" outlineLevel="0" collapsed="false">
      <c r="A17" s="4" t="s">
        <v>83</v>
      </c>
      <c r="B17" s="4" t="s">
        <v>305</v>
      </c>
      <c r="C17" s="4" t="s">
        <v>42</v>
      </c>
      <c r="D17" s="15" t="n">
        <v>82.9</v>
      </c>
      <c r="E17" s="15" t="n">
        <v>25</v>
      </c>
      <c r="F17" s="5" t="n">
        <f aca="false">D17*E17</f>
        <v>2072.5</v>
      </c>
      <c r="H17" s="24" t="n">
        <v>12</v>
      </c>
      <c r="I17" s="26" t="n">
        <f aca="false">D17/H17</f>
        <v>6.90833333333333</v>
      </c>
      <c r="J17" s="4" t="s">
        <v>306</v>
      </c>
    </row>
    <row r="18" customFormat="false" ht="15" hidden="false" customHeight="false" outlineLevel="0" collapsed="false">
      <c r="A18" s="4" t="s">
        <v>86</v>
      </c>
      <c r="B18" s="4" t="s">
        <v>307</v>
      </c>
      <c r="C18" s="4" t="s">
        <v>42</v>
      </c>
      <c r="D18" s="5" t="n">
        <f aca="false">Metrados!$E$23</f>
        <v>7.4</v>
      </c>
      <c r="E18" s="15" t="n">
        <v>5</v>
      </c>
      <c r="F18" s="5" t="n">
        <f aca="false">D18*E18</f>
        <v>37</v>
      </c>
      <c r="H18" s="24" t="n">
        <v>50</v>
      </c>
      <c r="I18" s="26" t="n">
        <f aca="false">D18/H18</f>
        <v>0.148</v>
      </c>
      <c r="J18" s="4"/>
    </row>
    <row r="19" customFormat="false" ht="15" hidden="false" customHeight="false" outlineLevel="0" collapsed="false">
      <c r="A19" s="4" t="s">
        <v>77</v>
      </c>
      <c r="B19" s="4" t="s">
        <v>308</v>
      </c>
      <c r="C19" s="4" t="s">
        <v>49</v>
      </c>
      <c r="D19" s="15" t="n">
        <v>38.2</v>
      </c>
      <c r="E19" s="15" t="n">
        <v>40</v>
      </c>
      <c r="F19" s="5" t="n">
        <f aca="false">D19*E19</f>
        <v>1528</v>
      </c>
      <c r="H19" s="24" t="n">
        <v>38.2</v>
      </c>
      <c r="I19" s="26" t="n">
        <f aca="false">D19/H19</f>
        <v>1</v>
      </c>
      <c r="J19" s="4" t="s">
        <v>309</v>
      </c>
    </row>
    <row r="20" customFormat="false" ht="15" hidden="false" customHeight="false" outlineLevel="0" collapsed="false">
      <c r="A20" s="4" t="s">
        <v>310</v>
      </c>
      <c r="B20" s="4" t="s">
        <v>311</v>
      </c>
      <c r="C20" s="4" t="s">
        <v>109</v>
      </c>
      <c r="D20" s="15" t="n">
        <v>2646</v>
      </c>
      <c r="E20" s="15" t="n">
        <v>1.3</v>
      </c>
      <c r="F20" s="5" t="n">
        <f aca="false">D20*E20</f>
        <v>3439.8</v>
      </c>
      <c r="H20" s="24" t="n">
        <v>200</v>
      </c>
      <c r="I20" s="26" t="n">
        <f aca="false">D20/H20</f>
        <v>13.23</v>
      </c>
      <c r="J20" s="4" t="s">
        <v>312</v>
      </c>
    </row>
    <row r="21" customFormat="false" ht="15" hidden="false" customHeight="false" outlineLevel="0" collapsed="false">
      <c r="A21" s="4" t="s">
        <v>98</v>
      </c>
      <c r="B21" s="4" t="s">
        <v>313</v>
      </c>
      <c r="C21" s="4" t="s">
        <v>42</v>
      </c>
      <c r="D21" s="5" t="n">
        <f aca="false">Metrados!$E$27</f>
        <v>83.5</v>
      </c>
      <c r="E21" s="15" t="n">
        <v>28</v>
      </c>
      <c r="F21" s="5" t="n">
        <f aca="false">D21*E21</f>
        <v>2338</v>
      </c>
      <c r="H21" s="24" t="n">
        <v>10</v>
      </c>
      <c r="I21" s="26" t="n">
        <f aca="false">D21/H21</f>
        <v>8.35</v>
      </c>
      <c r="J21" s="4"/>
    </row>
    <row r="22" customFormat="false" ht="15" hidden="false" customHeight="false" outlineLevel="0" collapsed="false">
      <c r="A22" s="4" t="s">
        <v>95</v>
      </c>
      <c r="B22" s="4" t="s">
        <v>314</v>
      </c>
      <c r="C22" s="4" t="s">
        <v>49</v>
      </c>
      <c r="D22" s="15" t="n">
        <v>8.8</v>
      </c>
      <c r="E22" s="15" t="n">
        <v>60</v>
      </c>
      <c r="F22" s="5" t="n">
        <f aca="false">D22*E22</f>
        <v>528</v>
      </c>
      <c r="H22" s="24" t="n">
        <v>8.8</v>
      </c>
      <c r="I22" s="26" t="n">
        <f aca="false">D22/H22</f>
        <v>1</v>
      </c>
      <c r="J22" s="4" t="s">
        <v>315</v>
      </c>
    </row>
    <row r="23" customFormat="false" ht="15" hidden="false" customHeight="false" outlineLevel="0" collapsed="false">
      <c r="A23" s="4" t="s">
        <v>316</v>
      </c>
      <c r="B23" s="4" t="s">
        <v>317</v>
      </c>
      <c r="C23" s="4" t="s">
        <v>109</v>
      </c>
      <c r="D23" s="15" t="n">
        <v>304</v>
      </c>
      <c r="E23" s="15" t="n">
        <v>1.2</v>
      </c>
      <c r="F23" s="5" t="n">
        <f aca="false">D23*E23</f>
        <v>364.8</v>
      </c>
      <c r="H23" s="24" t="n">
        <v>150</v>
      </c>
      <c r="I23" s="26" t="n">
        <f aca="false">D23/H23</f>
        <v>2.02666666666667</v>
      </c>
      <c r="J23" s="4"/>
    </row>
    <row r="24" customFormat="false" ht="15" hidden="false" customHeight="false" outlineLevel="0" collapsed="false">
      <c r="A24" s="4" t="s">
        <v>104</v>
      </c>
      <c r="B24" s="4" t="s">
        <v>318</v>
      </c>
      <c r="C24" s="4" t="s">
        <v>42</v>
      </c>
      <c r="D24" s="5" t="n">
        <f aca="false">Metrados!$E$29</f>
        <v>21.9</v>
      </c>
      <c r="E24" s="15" t="n">
        <v>25</v>
      </c>
      <c r="F24" s="5" t="n">
        <f aca="false">D24*E24</f>
        <v>547.5</v>
      </c>
      <c r="H24" s="24" t="n">
        <v>10</v>
      </c>
      <c r="I24" s="26" t="n">
        <f aca="false">D24/H24</f>
        <v>2.19</v>
      </c>
      <c r="J24" s="4"/>
    </row>
    <row r="25" customFormat="false" ht="15" hidden="false" customHeight="false" outlineLevel="0" collapsed="false">
      <c r="A25" s="4" t="s">
        <v>319</v>
      </c>
      <c r="B25" s="4" t="s">
        <v>320</v>
      </c>
      <c r="C25" s="4" t="s">
        <v>49</v>
      </c>
      <c r="D25" s="15" t="n">
        <v>0.37</v>
      </c>
      <c r="E25" s="15" t="n">
        <v>120</v>
      </c>
      <c r="F25" s="5" t="n">
        <f aca="false">D25*E25</f>
        <v>44.4</v>
      </c>
      <c r="H25" s="24" t="n">
        <v>2</v>
      </c>
      <c r="I25" s="26" t="n">
        <f aca="false">D25/H25</f>
        <v>0.185</v>
      </c>
      <c r="J25" s="4"/>
    </row>
    <row r="26" customFormat="false" ht="15" hidden="false" customHeight="false" outlineLevel="0" collapsed="false">
      <c r="A26" s="4" t="s">
        <v>111</v>
      </c>
      <c r="B26" s="4" t="s">
        <v>321</v>
      </c>
      <c r="C26" s="4" t="s">
        <v>113</v>
      </c>
      <c r="D26" s="5" t="n">
        <f aca="false">Metrados!$E$31</f>
        <v>8</v>
      </c>
      <c r="E26" s="15" t="n">
        <v>20</v>
      </c>
      <c r="F26" s="5" t="n">
        <f aca="false">D26*E26</f>
        <v>160</v>
      </c>
      <c r="H26" s="24" t="n">
        <v>16</v>
      </c>
      <c r="I26" s="26" t="n">
        <f aca="false">D26/H26</f>
        <v>0.5</v>
      </c>
      <c r="J26" s="4"/>
    </row>
    <row r="27" customFormat="false" ht="15" hidden="false" customHeight="false" outlineLevel="0" collapsed="false">
      <c r="A27" s="4" t="s">
        <v>115</v>
      </c>
      <c r="B27" s="4" t="s">
        <v>322</v>
      </c>
      <c r="C27" s="4" t="s">
        <v>42</v>
      </c>
      <c r="D27" s="5" t="n">
        <f aca="false">Metrados!$E$33</f>
        <v>29.8</v>
      </c>
      <c r="E27" s="15" t="n">
        <v>35</v>
      </c>
      <c r="F27" s="5" t="n">
        <f aca="false">D27*E27</f>
        <v>1043</v>
      </c>
      <c r="H27" s="24" t="n">
        <v>10</v>
      </c>
      <c r="I27" s="26" t="n">
        <f aca="false">D27/H27</f>
        <v>2.98</v>
      </c>
      <c r="J27" s="4"/>
    </row>
    <row r="28" customFormat="false" ht="15" hidden="false" customHeight="false" outlineLevel="0" collapsed="false">
      <c r="A28" s="4" t="s">
        <v>117</v>
      </c>
      <c r="B28" s="4" t="s">
        <v>323</v>
      </c>
      <c r="C28" s="4" t="s">
        <v>42</v>
      </c>
      <c r="D28" s="5" t="n">
        <f aca="false">Metrados!$E$34</f>
        <v>57.1</v>
      </c>
      <c r="E28" s="15" t="n">
        <v>35</v>
      </c>
      <c r="F28" s="5" t="n">
        <f aca="false">D28*E28</f>
        <v>1998.5</v>
      </c>
      <c r="H28" s="24" t="n">
        <v>10</v>
      </c>
      <c r="I28" s="26" t="n">
        <f aca="false">D28/H28</f>
        <v>5.71</v>
      </c>
      <c r="J28" s="4"/>
    </row>
    <row r="29" customFormat="false" ht="15" hidden="false" customHeight="false" outlineLevel="0" collapsed="false">
      <c r="A29" s="4" t="s">
        <v>120</v>
      </c>
      <c r="B29" s="4" t="s">
        <v>121</v>
      </c>
      <c r="C29" s="4" t="s">
        <v>122</v>
      </c>
      <c r="D29" s="5" t="n">
        <f aca="false">Metrados!$E$35</f>
        <v>42</v>
      </c>
      <c r="E29" s="15" t="n">
        <v>8</v>
      </c>
      <c r="F29" s="5" t="n">
        <f aca="false">D29*E29</f>
        <v>336</v>
      </c>
      <c r="H29" s="24" t="n">
        <v>60</v>
      </c>
      <c r="I29" s="26" t="n">
        <f aca="false">D29/H29</f>
        <v>0.7</v>
      </c>
      <c r="J29" s="4"/>
    </row>
    <row r="30" customFormat="false" ht="15" hidden="false" customHeight="false" outlineLevel="0" collapsed="false">
      <c r="A30" s="4" t="s">
        <v>125</v>
      </c>
      <c r="B30" s="4" t="s">
        <v>324</v>
      </c>
      <c r="C30" s="4" t="s">
        <v>199</v>
      </c>
      <c r="D30" s="15" t="n">
        <v>14</v>
      </c>
      <c r="E30" s="15" t="n">
        <v>40</v>
      </c>
      <c r="F30" s="5" t="n">
        <f aca="false">D30*E30</f>
        <v>560</v>
      </c>
      <c r="H30" s="24" t="n">
        <v>14</v>
      </c>
      <c r="I30" s="26" t="n">
        <f aca="false">D30/H30</f>
        <v>1</v>
      </c>
      <c r="J30" s="4" t="s">
        <v>325</v>
      </c>
    </row>
    <row r="31" customFormat="false" ht="15" hidden="false" customHeight="false" outlineLevel="0" collapsed="false">
      <c r="A31" s="4" t="s">
        <v>326</v>
      </c>
      <c r="B31" s="4" t="s">
        <v>327</v>
      </c>
      <c r="C31" s="4" t="s">
        <v>127</v>
      </c>
      <c r="D31" s="15" t="n">
        <v>1</v>
      </c>
      <c r="E31" s="15" t="n">
        <v>300</v>
      </c>
      <c r="F31" s="5" t="n">
        <f aca="false">D31*E31</f>
        <v>300</v>
      </c>
      <c r="H31" s="24" t="n">
        <v>1</v>
      </c>
      <c r="I31" s="26" t="n">
        <f aca="false">D31/H31</f>
        <v>1</v>
      </c>
      <c r="J31" s="4"/>
    </row>
    <row r="32" customFormat="false" ht="15" hidden="false" customHeight="false" outlineLevel="0" collapsed="false">
      <c r="B32" s="4" t="s">
        <v>328</v>
      </c>
      <c r="C32" s="4" t="s">
        <v>127</v>
      </c>
      <c r="D32" s="25" t="n">
        <v>1</v>
      </c>
      <c r="E32" s="15" t="n">
        <v>2500</v>
      </c>
      <c r="F32" s="5" t="n">
        <f aca="false">D32*E32</f>
        <v>2500</v>
      </c>
    </row>
    <row r="33" customFormat="false" ht="15" hidden="false" customHeight="false" outlineLevel="0" collapsed="false">
      <c r="E33" s="7" t="s">
        <v>25</v>
      </c>
      <c r="F33" s="8" t="n">
        <f aca="false">SUM(F5:F32)</f>
        <v>30357.8</v>
      </c>
      <c r="H33" s="7" t="s">
        <v>329</v>
      </c>
      <c r="I33" s="27" t="n">
        <f aca="false">SUM(I5:I31)</f>
        <v>79.0450714285714</v>
      </c>
    </row>
    <row r="34" customFormat="false" ht="15" hidden="false" customHeight="false" outlineLevel="0" collapsed="false">
      <c r="E34" s="28" t="s">
        <v>330</v>
      </c>
      <c r="F34" s="29" t="n">
        <f aca="false">CEILING(F33,500)</f>
        <v>30500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331</v>
      </c>
    </row>
    <row r="2" customFormat="false" ht="15" hidden="false" customHeight="false" outlineLevel="0" collapsed="false">
      <c r="A2" s="2" t="s">
        <v>332</v>
      </c>
    </row>
    <row r="4" customFormat="false" ht="31.5" hidden="false" customHeight="true" outlineLevel="0" collapsed="false">
      <c r="A4" s="3" t="s">
        <v>2</v>
      </c>
      <c r="B4" s="3" t="s">
        <v>333</v>
      </c>
      <c r="C4" s="3" t="s">
        <v>334</v>
      </c>
    </row>
    <row r="5" customFormat="false" ht="15" hidden="false" customHeight="false" outlineLevel="0" collapsed="false">
      <c r="A5" s="4" t="s">
        <v>335</v>
      </c>
      <c r="B5" s="26" t="n">
        <f aca="false">'Mano de obra'!$I$33</f>
        <v>79.0450714285714</v>
      </c>
      <c r="C5" s="4" t="s">
        <v>336</v>
      </c>
    </row>
    <row r="6" customFormat="false" ht="15" hidden="false" customHeight="false" outlineLevel="0" collapsed="false">
      <c r="A6" s="4" t="s">
        <v>337</v>
      </c>
      <c r="B6" s="30" t="n">
        <v>1.35</v>
      </c>
      <c r="C6" s="4" t="s">
        <v>338</v>
      </c>
    </row>
    <row r="7" customFormat="false" ht="15" hidden="false" customHeight="false" outlineLevel="0" collapsed="false">
      <c r="A7" s="4" t="s">
        <v>339</v>
      </c>
      <c r="B7" s="31" t="n">
        <v>0.1</v>
      </c>
      <c r="C7" s="4" t="s">
        <v>340</v>
      </c>
    </row>
    <row r="8" customFormat="false" ht="15" hidden="false" customHeight="false" outlineLevel="0" collapsed="false">
      <c r="A8" s="4" t="s">
        <v>341</v>
      </c>
      <c r="B8" s="32" t="n">
        <f aca="false">ROUNDUP(B5/B6*(1+B7),0)</f>
        <v>65</v>
      </c>
      <c r="C8" s="4" t="s">
        <v>342</v>
      </c>
    </row>
    <row r="9" customFormat="false" ht="15" hidden="false" customHeight="false" outlineLevel="0" collapsed="false">
      <c r="A9" s="4" t="s">
        <v>343</v>
      </c>
      <c r="B9" s="26" t="n">
        <f aca="false">B8/6</f>
        <v>10.8333333333333</v>
      </c>
      <c r="C9" s="4" t="s">
        <v>344</v>
      </c>
    </row>
    <row r="10" customFormat="false" ht="15" hidden="false" customHeight="false" outlineLevel="0" collapsed="false">
      <c r="A10" s="4"/>
      <c r="C10" s="4"/>
    </row>
    <row r="11" customFormat="false" ht="15" hidden="false" customHeight="false" outlineLevel="0" collapsed="false">
      <c r="A11" s="28" t="s">
        <v>345</v>
      </c>
      <c r="C11" s="4"/>
    </row>
    <row r="12" customFormat="false" ht="15" hidden="false" customHeight="false" outlineLevel="0" collapsed="false">
      <c r="A12" s="4" t="s">
        <v>346</v>
      </c>
      <c r="B12" s="32" t="n">
        <f aca="false">B8*Precios!$D$32</f>
        <v>8450</v>
      </c>
      <c r="C12" s="4"/>
    </row>
    <row r="13" customFormat="false" ht="15" hidden="false" customHeight="false" outlineLevel="0" collapsed="false">
      <c r="A13" s="4" t="s">
        <v>347</v>
      </c>
      <c r="B13" s="32" t="n">
        <f aca="false">B8*Precios!$D$33</f>
        <v>5200</v>
      </c>
      <c r="C13" s="4"/>
    </row>
    <row r="14" customFormat="false" ht="15" hidden="false" customHeight="false" outlineLevel="0" collapsed="false">
      <c r="A14" s="4" t="s">
        <v>348</v>
      </c>
      <c r="B14" s="32" t="n">
        <f aca="false">6*Precios!$D$33</f>
        <v>480</v>
      </c>
      <c r="C14" s="4" t="s">
        <v>349</v>
      </c>
    </row>
    <row r="15" customFormat="false" ht="15" hidden="false" customHeight="false" outlineLevel="0" collapsed="false">
      <c r="A15" s="4" t="s">
        <v>350</v>
      </c>
      <c r="B15" s="32" t="n">
        <f aca="false">13*Precios!$D$30</f>
        <v>1950</v>
      </c>
      <c r="C15" s="4" t="s">
        <v>351</v>
      </c>
    </row>
    <row r="16" customFormat="false" ht="15" hidden="false" customHeight="false" outlineLevel="0" collapsed="false">
      <c r="A16" s="4" t="s">
        <v>209</v>
      </c>
      <c r="B16" s="32" t="n">
        <f aca="false">Precios!$D$31</f>
        <v>300</v>
      </c>
      <c r="C16" s="4" t="s">
        <v>352</v>
      </c>
    </row>
    <row r="17" customFormat="false" ht="15" hidden="false" customHeight="false" outlineLevel="0" collapsed="false">
      <c r="A17" s="4" t="s">
        <v>353</v>
      </c>
      <c r="B17" s="32" t="n">
        <f aca="false">Precios!$D$36</f>
        <v>2500</v>
      </c>
      <c r="C17" s="4"/>
    </row>
    <row r="18" customFormat="false" ht="15" hidden="false" customHeight="false" outlineLevel="0" collapsed="false">
      <c r="A18" s="4" t="s">
        <v>354</v>
      </c>
      <c r="B18" s="32" t="n">
        <f aca="false">4*Precios!$D$34+2*Precios!$D$35</f>
        <v>560</v>
      </c>
      <c r="C18" s="4" t="s">
        <v>355</v>
      </c>
    </row>
    <row r="19" customFormat="false" ht="15" hidden="false" customHeight="false" outlineLevel="0" collapsed="false">
      <c r="A19" s="4" t="s">
        <v>356</v>
      </c>
      <c r="B19" s="33" t="n">
        <v>600</v>
      </c>
      <c r="C19" s="4" t="s">
        <v>357</v>
      </c>
    </row>
    <row r="20" customFormat="false" ht="15" hidden="false" customHeight="false" outlineLevel="0" collapsed="false">
      <c r="A20" s="4" t="s">
        <v>358</v>
      </c>
      <c r="B20" s="33" t="n">
        <v>400</v>
      </c>
      <c r="C20" s="4"/>
    </row>
    <row r="21" customFormat="false" ht="15" hidden="false" customHeight="false" outlineLevel="0" collapsed="false">
      <c r="A21" s="4" t="s">
        <v>359</v>
      </c>
      <c r="B21" s="33" t="n">
        <v>600</v>
      </c>
      <c r="C21" s="4" t="s">
        <v>360</v>
      </c>
    </row>
    <row r="22" customFormat="false" ht="15" hidden="false" customHeight="false" outlineLevel="0" collapsed="false">
      <c r="A22" s="7" t="s">
        <v>361</v>
      </c>
      <c r="B22" s="34" t="n">
        <f aca="false">SUM(B12:B21)</f>
        <v>21040</v>
      </c>
      <c r="C22" s="4"/>
    </row>
    <row r="23" customFormat="false" ht="15" hidden="false" customHeight="false" outlineLevel="0" collapsed="false">
      <c r="A23" s="4"/>
      <c r="C23" s="4"/>
    </row>
    <row r="24" customFormat="false" ht="15" hidden="false" customHeight="false" outlineLevel="0" collapsed="false">
      <c r="A24" s="7" t="s">
        <v>362</v>
      </c>
      <c r="B24" s="34" t="n">
        <f aca="false">'Mano de obra'!$F$34</f>
        <v>30500</v>
      </c>
      <c r="C24" s="4" t="s">
        <v>363</v>
      </c>
    </row>
    <row r="25" customFormat="false" ht="15" hidden="false" customHeight="false" outlineLevel="0" collapsed="false">
      <c r="A25" s="7" t="s">
        <v>364</v>
      </c>
      <c r="B25" s="34" t="n">
        <f aca="false">B24-B22</f>
        <v>9460</v>
      </c>
      <c r="C25" s="4"/>
    </row>
    <row r="26" customFormat="false" ht="15" hidden="false" customHeight="false" outlineLevel="0" collapsed="false">
      <c r="A26" s="4" t="s">
        <v>365</v>
      </c>
      <c r="B26" s="32" t="n">
        <f aca="false">B25/B9</f>
        <v>873.230769230769</v>
      </c>
      <c r="C26" s="4" t="s">
        <v>366</v>
      </c>
    </row>
    <row r="27" customFormat="false" ht="15" hidden="false" customHeight="false" outlineLevel="0" collapsed="false">
      <c r="A27" s="4" t="s">
        <v>367</v>
      </c>
      <c r="B27" s="6" t="n">
        <f aca="false">B25/B24</f>
        <v>0.31016393442623</v>
      </c>
      <c r="C27" s="4"/>
    </row>
    <row r="29" customFormat="false" ht="15" hidden="false" customHeight="false" outlineLevel="0" collapsed="false">
      <c r="A29" s="9" t="s">
        <v>368</v>
      </c>
    </row>
    <row r="30" customFormat="false" ht="31.5" hidden="false" customHeight="true" outlineLevel="0" collapsed="false">
      <c r="A30" s="3" t="s">
        <v>369</v>
      </c>
      <c r="B30" s="3" t="s">
        <v>370</v>
      </c>
      <c r="C30" s="3" t="s">
        <v>273</v>
      </c>
    </row>
    <row r="31" customFormat="false" ht="15" hidden="false" customHeight="false" outlineLevel="0" collapsed="false">
      <c r="A31" s="25" t="n">
        <v>50</v>
      </c>
      <c r="B31" s="32" t="n">
        <f aca="false">B24-(B22-B12-B13+50*(Precios!$D$32+Precios!$D$33))</f>
        <v>12610</v>
      </c>
      <c r="C31" s="4"/>
    </row>
    <row r="32" customFormat="false" ht="15" hidden="false" customHeight="false" outlineLevel="0" collapsed="false">
      <c r="A32" s="25" t="n">
        <v>60</v>
      </c>
      <c r="B32" s="32" t="n">
        <f aca="false">B24-(B22-B12-B13+60*(Precios!$D$32+Precios!$D$33))</f>
        <v>10510</v>
      </c>
      <c r="C32" s="4"/>
    </row>
    <row r="33" customFormat="false" ht="15" hidden="false" customHeight="false" outlineLevel="0" collapsed="false">
      <c r="A33" s="25" t="n">
        <v>70</v>
      </c>
      <c r="B33" s="32" t="n">
        <f aca="false">B24-(B22-B12-B13+70*(Precios!$D$32+Precios!$D$33))</f>
        <v>8410</v>
      </c>
      <c r="C33" s="4"/>
    </row>
    <row r="34" customFormat="false" ht="15" hidden="false" customHeight="false" outlineLevel="0" collapsed="false">
      <c r="A34" s="25" t="n">
        <v>80</v>
      </c>
      <c r="B34" s="32" t="n">
        <f aca="false">B24-(B22-B12-B13+80*(Precios!$D$32+Precios!$D$33))</f>
        <v>6310</v>
      </c>
      <c r="C34" s="4"/>
    </row>
    <row r="35" customFormat="false" ht="15" hidden="false" customHeight="false" outlineLevel="0" collapsed="false">
      <c r="A35" s="25" t="n">
        <v>90</v>
      </c>
      <c r="B35" s="32" t="n">
        <f aca="false">B24-(B22-B12-B13+90*(Precios!$D$32+Precios!$D$33))</f>
        <v>4210</v>
      </c>
      <c r="C3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2026-10-13T18:55:40Z</dcterms:created>
  <dc:creator>openpyxl</dc:creator>
  <dc:description/>
  <dc:language>en-US</dc:language>
  <cp:lastModifiedBy/>
  <dcterms:modified xsi:type="dcterms:W3CDTF">2026-10-13T18:55:40Z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