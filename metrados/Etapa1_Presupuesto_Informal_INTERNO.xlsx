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<sst xmlns="http://schemas.openxmlformats.org/spreadsheetml/2006/main" count="593" uniqueCount="406">
  <si>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</si>
  <si>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</si>
  <si>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</si>
  <si>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</si>
  <si>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</si>
  <si>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</si>
  <si>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</si>
  <si>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</si>
  <si>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</si>
  <si>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</si>
  <si>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</si>
  <si>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</si>
  <si>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</si>
  <si>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</si>
  <si>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</si>
  <si>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</si>
  <si>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</si>
  <si>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</si>
  <si>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</si>
  <si>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</si>
  <si>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</si>
  <si>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</si>
  <si>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</si>
  <si>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</si>
  <si>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</si>
  <si>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</si>
  <si>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</si>
  <si>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</si>
  <si>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</si>
  <si>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VE de -1.50 a -0.80 conectadas a las zapatas. Sistema mixto: linderos A y C de albañilería confinada (muro endentado de KK portante antes del vaciado de columnas).</t>
  </si>
  <si>
    <t xml:space="preserve">ETAPA 1 - METRADOS VERIFICADOS (E-10 vs. revisión)</t>
  </si>
  <si>
    <t xml:space="preserve">Revisión del cuadro E-10 contra E-01, E-02/E-03, E-04. Filas en naranja = corregidas. VE de -1.50 a -0.80 conectadas a las zapatas (tecnopor debajo entre zapatas). Sistema mixto: albañilería confinada en linderos A y C.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</si>
  <si>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</si>
  <si>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</si>
  <si>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</si>
  <si>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</si>
  <si>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</si>
  <si>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</si>
  <si>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</si>
  <si>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</si>
  <si>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</si>
  <si>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</si>
  <si>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</si>
  <si>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</si>
  <si>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</si>
  <si>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</si>
  <si>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</si>
  <si>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</si>
  <si>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</si>
  <si>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</si>
  <si>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</si>
  <si>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</si>
  <si>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</si>
  <si>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ahora con fondo -1.50 + tecnopor: 0.70×1.60×24.53 = 27.5; VC 0.55×1.50×6.56 = 5.4. (El modelo, descontando el sobreancho de pozos, da 28.3)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</si>
  <si>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</si>
  <si>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</si>
  <si>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</si>
  <si>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</si>
  <si>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</si>
  <si>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excavación bajo -0.20 = 104.9 - enterrado 41.7 (solado, zapatas, VE, VC, tecnopor, columnas, sobrecimiento) = 63.2; cerco 7.3</t>
  </si>
  <si>
    <t xml:space="preserve">02.05</t>
  </si>
  <si>
    <t xml:space="preserve">Eliminación de material excedente (esponj. 25%)</t>
  </si>
  <si>
    <t xml:space="preserve">(133.3 - 70.5) × 1.25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</si>
  <si>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</si>
  <si>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</si>
  <si>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</si>
  <si>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</si>
  <si>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</si>
  <si>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</si>
  <si>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</si>
  <si>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</si>
  <si>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 de ancho (perímetro + cerco)</t>
  </si>
  <si>
    <t xml:space="preserve">Arranca desde la viga: sobre VE (top -0.80) h = 1.00 → 20.98 m; sobre VC de ejes A y C (top -1.10 / zapata -1.00) h 1.20-1.30 → 10.72 m; cerco h = 0.40 → 11.78 m (medido en el modelo)</t>
  </si>
  <si>
    <t xml:space="preserve">03.04</t>
  </si>
  <si>
    <t xml:space="preserve">Encofrado de sobrecimiento (2 caras)</t>
  </si>
  <si>
    <t xml:space="preserve">2 × (1.00 × 20.98 + 1.25 × 10.72 + 0.40 × 11.78)</t>
  </si>
  <si>
    <t xml:space="preserve">04  CONCRETO ARMADO f'c 210</t>
  </si>
  <si>
    <t xml:space="preserve">04.01</t>
  </si>
  <si>
    <t xml:space="preserve">Zapatas Z-1 a Z-5 (vaciado contra terreno)</t>
  </si>
  <si>
    <t xml:space="preserve">Cuadro E-01. OJO: la excavación lleva 0.10 de sobreancho; si se vacía contra terreno, ese hueco se llena de concreto (+3.8 m³). Perfilar a la medida exacta los 0.50 inferiores</t>
  </si>
  <si>
    <t xml:space="preserve">04.02</t>
  </si>
  <si>
    <t xml:space="preserve">Vigas de equilibrio VE 0.30×0.70 (de -1.50 a -0.80)</t>
  </si>
  <si>
    <t xml:space="preserve">Entre zapatas 0.30×0.70×24.53 = 5.15 + sobre zapata solo lo que sobresale (-1.00 a -0.80) 0.30×0.20×30.95 = 1.86</t>
  </si>
  <si>
    <t xml:space="preserve">04.03</t>
  </si>
  <si>
    <t xml:space="preserve">Encofrado VE (2 caras)</t>
  </si>
  <si>
    <t xml:space="preserve">2 × 0.70 × 24.53 + 2 × 0.20 × 30.95</t>
  </si>
  <si>
    <t xml:space="preserve">04.04</t>
  </si>
  <si>
    <t xml:space="preserve">Tecnopor e = 0.10 bajo VE (solo entre zapatas, de -1.60 a -1.50)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</si>
  <si>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</si>
  <si>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</si>
  <si>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</si>
  <si>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</si>
  <si>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</si>
  <si>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</si>
  <si>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</si>
  <si>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</si>
  <si>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</si>
  <si>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 = 8.22 + 0.10 de concreto que entra en los dientes del muro</t>
  </si>
  <si>
    <t xml:space="preserve">04.07</t>
  </si>
  <si>
    <t xml:space="preserve">Encofrado columnas 1er piso</t>
  </si>
  <si>
    <t xml:space="preserve">25.3 m × 3.30 = 83.5 - 16 caras contra muro endentado (0.13 × 2.10) = 4.4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</si>
  <si>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</si>
  <si>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</si>
  <si>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</si>
  <si>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</si>
  <si>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</si>
  <si>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</si>
  <si>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</si>
  <si>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</si>
  <si>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</si>
  <si>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</si>
  <si>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</si>
  <si>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</si>
  <si>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</si>
  <si>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</si>
  <si>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</si>
  <si>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</si>
  <si>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05.02a</t>
  </si>
  <si>
    <t xml:space="preserve">Muro portante linderos A y C - KK PORTANTE endentado (albañilería confinada)</t>
  </si>
  <si>
    <t xml:space="preserve">2 × 12.50 × 2.10 (de +0.20 a +2.30). Se levanta ANTES de vaciar las columnas</t>
  </si>
  <si>
    <t xml:space="preserve">05.02b</t>
  </si>
  <si>
    <t xml:space="preserve">Muro fondo eje 5 - tabique KK 18 huecos con junta</t>
  </si>
  <si>
    <t xml:space="preserve">6.70 × 2.10</t>
  </si>
  <si>
    <t xml:space="preserve">05.03</t>
  </si>
  <si>
    <t xml:space="preserve">Junta con tecnopor 1" (solo fondo y encuentro cerco-vivienda)</t>
  </si>
  <si>
    <t xml:space="preserve">ml</t>
  </si>
  <si>
    <t xml:space="preserve">Linderos ya no llevan junta (muro endentado). Fondo 4 × 2.10 + cerco-vivienda 2 × 2.60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</si>
  <si>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</si>
  <si>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</si>
  <si>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</si>
  <si>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</si>
  <si>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</si>
  <si>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</si>
  <si>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</si>
  <si>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CAMBIOS DE OBRA: VE de -1.50 a -0.80 conectadas a las zapatas (tecnopor 0.10 bajo VE entre zapatas, excavación a -1.60).</t>
  </si>
  <si>
    <t xml:space="preserve">Sistema mixto: linderos A y C de albañilería confinada (KK portante con ≤30% vacíos, E.070), muro endentado y luego vaciado de columnas.</t>
  </si>
  <si>
    <t xml:space="preserve">Acero de columnas 1er piso: 2,646 kg (E-10) verificado (barras Ø5/8" de 6.00 m de arranque + estribos Ø1/2" 1,342 kg + montaje 3/8" 38 kg).</t>
  </si>
  <si>
    <t xml:space="preserve">Diferencias menores a favor (no se cambian): zanjas de VE medidas sin descontar el sobreancho de los pozos (~2.5 m³ de más); encofrado de columnas sin descontar las caras donde llega la VE (~6.7 m²).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</si>
  <si>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</si>
  <si>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</si>
  <si>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</si>
  <si>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</si>
  <si>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</si>
  <si>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</si>
  <si>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</si>
  <si>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</si>
  <si>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</si>
  <si>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</si>
  <si>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</si>
  <si>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</si>
  <si>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</si>
  <si>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</si>
  <si>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</si>
  <si>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</si>
  <si>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</si>
  <si>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</si>
  <si>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</si>
  <si>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</si>
  <si>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</si>
  <si>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</si>
  <si>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</si>
  <si>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</si>
  <si>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</si>
  <si>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</si>
  <si>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</si>
  <si>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</si>
  <si>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</si>
  <si>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</si>
  <si>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</si>
  <si>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</si>
  <si>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</si>
  <si>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</si>
  <si>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</si>
  <si>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</si>
  <si>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</si>
  <si>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</si>
  <si>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</si>
  <si>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</si>
  <si>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</si>
  <si>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</si>
  <si>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</si>
  <si>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</si>
  <si>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</si>
  <si>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</si>
  <si>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</si>
  <si>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</si>
  <si>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</si>
  <si>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kkp</t>
  </si>
  <si>
    <t xml:space="preserve">Ladrillo KK PORTANTE (≤30% vacíos, tipo IV/V) 9×13×24</t>
  </si>
  <si>
    <t xml:space="preserve">Tu Excel: S/ 1.50-2.20 (cotizar, pedir ficha técnica)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</si>
  <si>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</si>
  <si>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</si>
  <si>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</si>
  <si>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</si>
  <si>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</si>
  <si>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</si>
  <si>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</si>
  <si>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</si>
  <si>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</si>
  <si>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</si>
  <si>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</si>
  <si>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</si>
  <si>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</si>
  <si>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</si>
  <si>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</si>
  <si>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</si>
  <si>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</si>
  <si>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</si>
  <si>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</si>
  <si>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</si>
  <si>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</si>
  <si>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</si>
  <si>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</si>
  <si>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</si>
  <si>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</si>
  <si>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</si>
  <si>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</si>
  <si>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</si>
  <si>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</si>
  <si>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</si>
  <si>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</si>
  <si>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</si>
  <si>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</si>
  <si>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</si>
  <si>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</si>
  <si>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</si>
  <si>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</si>
  <si>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</si>
  <si>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</si>
  <si>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</si>
  <si>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</si>
  <si>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</si>
  <si>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</si>
  <si>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</si>
  <si>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</si>
  <si>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</si>
  <si>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</si>
  <si>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</si>
  <si>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</si>
  <si>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</si>
  <si>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</si>
  <si>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</si>
  <si>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</si>
  <si>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</si>
  <si>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</si>
  <si>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</si>
  <si>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</si>
  <si>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</si>
  <si>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</si>
  <si>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</si>
  <si>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</si>
  <si>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</si>
  <si>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</si>
  <si>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</si>
  <si>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+ 7.01 + 0.66 + 1.36 + 1.18) × 1.04 = 34.9 + 2.0 por sobreexcavación de la retro → 37.0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</si>
  <si>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</si>
  <si>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</si>
  <si>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</si>
  <si>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</si>
  <si>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</si>
  <si>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</si>
  <si>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</si>
  <si>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23 + solera 4 + mortero 22</t>
  </si>
  <si>
    <t xml:space="preserve">Hormigón (solado, ciclópeo, sobrecimiento)</t>
  </si>
  <si>
    <t xml:space="preserve">5.4 + 1.9 + 5.1</t>
  </si>
  <si>
    <t xml:space="preserve">Arena gruesa (solera + mortero de muros)</t>
  </si>
  <si>
    <t xml:space="preserve">0.2 + 96.6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</si>
  <si>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</si>
  <si>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</si>
  <si>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</si>
  <si>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</si>
  <si>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</si>
  <si>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</si>
  <si>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Estribos columnas 1,342 kg + cerco 177 kg, +5%</t>
  </si>
  <si>
    <t xml:space="preserve">Estribos VE 381 und (4 por varilla) 96 + VC 86 und 13 + montaje 9 + cerco 16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</si>
  <si>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</si>
  <si>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</si>
  <si>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</si>
  <si>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</si>
  <si>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</si>
  <si>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231 m²</t>
  </si>
  <si>
    <t xml:space="preserve">Clavos</t>
  </si>
  <si>
    <t xml:space="preserve">0.15 kg/m² × 231 m²</t>
  </si>
  <si>
    <t xml:space="preserve">Ladrillo KK PORTANTE - linderos A y C (+5%)</t>
  </si>
  <si>
    <t xml:space="preserve">52.5 m² × 39 × 1.05. Obligatorio en muro portante zona 4 (E.070)</t>
  </si>
  <si>
    <t xml:space="preserve">Ladrillo KK 18 huecos - fondo y cerco (+5%)</t>
  </si>
  <si>
    <t xml:space="preserve">(14.1 + 30.0) m² × 39 × 1.05</t>
  </si>
  <si>
    <t xml:space="preserve">Tecnopor 4" bajo VE</t>
  </si>
  <si>
    <t xml:space="preserve">7.4 m² ÷ 2.88</t>
  </si>
  <si>
    <t xml:space="preserve">Tecnopor 1" para juntas</t>
  </si>
  <si>
    <t xml:space="preserve">13.6 ml × 0.13 ≈ 1.8 m² + cortes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</si>
  <si>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</si>
  <si>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</si>
  <si>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</si>
  <si>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</si>
  <si>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</si>
  <si>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</si>
  <si>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78.5 m³ suelto ÷ 18</t>
  </si>
  <si>
    <t xml:space="preserve">Alquiler de apisonador para relleno</t>
  </si>
  <si>
    <t xml:space="preserve">70.5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</si>
  <si>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</si>
  <si>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</si>
  <si>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</si>
  <si>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</si>
  <si>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</si>
  <si>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</si>
  <si>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</si>
  <si>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Precio objetivo MO (S/)</t>
  </si>
  <si>
    <t xml:space="preserve">Factor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</si>
  <si>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</si>
  <si>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</si>
  <si>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</si>
  <si>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</si>
  <si>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P.U. base (S/)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</si>
  <si>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</si>
  <si>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</si>
  <si>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</si>
  <si>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</si>
  <si>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</si>
  <si>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</si>
  <si>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</si>
  <si>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</si>
  <si>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</si>
  <si>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</si>
  <si>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</si>
  <si>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</si>
  <si>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</si>
  <si>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</si>
  <si>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</si>
  <si>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</si>
  <si>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</si>
  <si>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46.7 + VC 5.2</t>
  </si>
  <si>
    <t xml:space="preserve">Colocación de tecnopor bajo VE</t>
  </si>
  <si>
    <t xml:space="preserve">Vaciado y vibrado premezclado - cimentación (37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</si>
  <si>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</si>
  <si>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</si>
  <si>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</si>
  <si>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</si>
  <si>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</si>
  <si>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 (contra muro endentado)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</si>
  <si>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</si>
  <si>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</si>
  <si>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</si>
  <si>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</si>
  <si>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</si>
  <si>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</si>
  <si>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</si>
  <si>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</si>
  <si>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portante KK endentado - linderos (albañilería confinada)</t>
  </si>
  <si>
    <t xml:space="preserve">Más lento: endentado y plomo para confinar</t>
  </si>
  <si>
    <t xml:space="preserve">Muro KK de soga - fondo (tabique con junta)</t>
  </si>
  <si>
    <t xml:space="preserve">Junta con tecnopor 1"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</si>
  <si>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</si>
  <si>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</si>
  <si>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</si>
  <si>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</si>
  <si>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</si>
  <si>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</si>
  <si>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</si>
  <si>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</si>
  <si>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</si>
  <si>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</si>
  <si>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</si>
  <si>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</si>
  <si>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</si>
  <si>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</si>
  <si>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</si>
  <si>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</si>
  <si>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</si>
  <si>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</si>
  <si>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</si>
  <si>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</si>
  <si>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</si>
  <si>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</si>
  <si>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</si>
  <si>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</si>
  <si>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</si>
  <si>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</si>
  <si>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14 h (mín. 5 h por día)</t>
  </si>
  <si>
    <t xml:space="preserve">Excavación 120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</si>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</sst>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00"/>
    <numFmt numFmtId="172" formatCode="0.0"/>
    <numFmt numFmtId="173" formatCode="#,##0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Materiales!$F$33</f>
        <v>53866.39</v>
      </c>
      <c r="C5" s="6" t="n">
        <f aca="false">B5/$B$10</f>
        <v>0.551644314127364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4845</v>
      </c>
      <c r="C6" s="6" t="n">
        <f aca="false">B6/$B$10</f>
        <v>0.0496175203489055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obra'!$F$35</f>
        <v>36000</v>
      </c>
      <c r="C7" s="6" t="n">
        <f aca="false">B7/$B$10</f>
        <v>0.368675073799917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94711.39</v>
      </c>
      <c r="C8" s="6" t="n">
        <f aca="false">B8/$B$10</f>
        <v>0.969936908276187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2935.5695</v>
      </c>
      <c r="C9" s="6" t="n">
        <f aca="false">B9/$B$10</f>
        <v>0.0300630917238135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97646.9595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5400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10800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4320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8280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7200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36000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22.35" hidden="false" customHeight="false" outlineLevel="0" collapsed="false">
      <c r="A10" s="18" t="s">
        <v>51</v>
      </c>
      <c r="B10" s="18" t="s">
        <v>52</v>
      </c>
      <c r="C10" s="18" t="s">
        <v>49</v>
      </c>
      <c r="D10" s="19" t="n">
        <v>24.3</v>
      </c>
      <c r="E10" s="20" t="n">
        <v>32.9</v>
      </c>
      <c r="F10" s="21" t="n">
        <f aca="false">E10-D10</f>
        <v>8.6</v>
      </c>
      <c r="G10" s="22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70.5</v>
      </c>
      <c r="F12" s="21" t="n">
        <f aca="false">E12-D12</f>
        <v>-8.90000000000001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78.5</v>
      </c>
      <c r="F13" s="21" t="n">
        <f aca="false">E13-D13</f>
        <v>25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22.35" hidden="false" customHeight="false" outlineLevel="0" collapsed="false">
      <c r="A17" s="18" t="s">
        <v>70</v>
      </c>
      <c r="B17" s="18" t="s">
        <v>71</v>
      </c>
      <c r="C17" s="18" t="s">
        <v>49</v>
      </c>
      <c r="D17" s="19" t="n">
        <v>2.7</v>
      </c>
      <c r="E17" s="20" t="n">
        <v>5.85</v>
      </c>
      <c r="F17" s="21" t="n">
        <f aca="false">E17-D17</f>
        <v>3.15</v>
      </c>
      <c r="G17" s="22" t="s">
        <v>72</v>
      </c>
    </row>
    <row r="18" customFormat="false" ht="15" hidden="false" customHeight="false" outlineLevel="0" collapsed="false">
      <c r="A18" s="18" t="s">
        <v>73</v>
      </c>
      <c r="B18" s="18" t="s">
        <v>74</v>
      </c>
      <c r="C18" s="18" t="s">
        <v>42</v>
      </c>
      <c r="D18" s="19" t="n">
        <v>35.4</v>
      </c>
      <c r="E18" s="20" t="n">
        <v>78</v>
      </c>
      <c r="F18" s="21" t="n">
        <f aca="false">E18-D18</f>
        <v>42.6</v>
      </c>
      <c r="G18" s="22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22.3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7.01</v>
      </c>
      <c r="F21" s="21" t="n">
        <f aca="false">E21-D21</f>
        <v>1.81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46.7</v>
      </c>
      <c r="F22" s="21" t="n">
        <f aca="false">E22-D22</f>
        <v>12.3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8.32</v>
      </c>
      <c r="F26" s="16" t="n">
        <f aca="false">E26-D26</f>
        <v>0.120000000000001</v>
      </c>
      <c r="G26" s="17" t="s">
        <v>97</v>
      </c>
    </row>
    <row r="27" customFormat="false" ht="15" hidden="false" customHeight="false" outlineLevel="0" collapsed="false">
      <c r="A27" s="18" t="s">
        <v>98</v>
      </c>
      <c r="B27" s="18" t="s">
        <v>99</v>
      </c>
      <c r="C27" s="18" t="s">
        <v>42</v>
      </c>
      <c r="D27" s="19" t="n">
        <v>83.5</v>
      </c>
      <c r="E27" s="20" t="n">
        <v>79.1</v>
      </c>
      <c r="F27" s="21" t="n">
        <f aca="false">E27-D27</f>
        <v>-4.40000000000001</v>
      </c>
      <c r="G27" s="22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18" t="s">
        <v>117</v>
      </c>
      <c r="B34" s="18" t="s">
        <v>118</v>
      </c>
      <c r="C34" s="18" t="s">
        <v>42</v>
      </c>
      <c r="D34" s="19" t="n">
        <v>57.1</v>
      </c>
      <c r="E34" s="20" t="n">
        <v>52.5</v>
      </c>
      <c r="F34" s="21" t="n">
        <f aca="false">E34-D34</f>
        <v>-4.6</v>
      </c>
      <c r="G34" s="22" t="s">
        <v>119</v>
      </c>
    </row>
    <row r="35" customFormat="false" ht="15" hidden="false" customHeight="false" outlineLevel="0" collapsed="false">
      <c r="A35" s="18" t="s">
        <v>120</v>
      </c>
      <c r="B35" s="18" t="s">
        <v>121</v>
      </c>
      <c r="C35" s="18" t="s">
        <v>42</v>
      </c>
      <c r="D35" s="19" t="n">
        <v>0</v>
      </c>
      <c r="E35" s="20" t="n">
        <v>14.1</v>
      </c>
      <c r="F35" s="21" t="n">
        <f aca="false">E35-D35</f>
        <v>14.1</v>
      </c>
      <c r="G35" s="22" t="s">
        <v>122</v>
      </c>
    </row>
    <row r="36" customFormat="false" ht="15" hidden="false" customHeight="false" outlineLevel="0" collapsed="false">
      <c r="A36" s="18" t="s">
        <v>123</v>
      </c>
      <c r="B36" s="18" t="s">
        <v>124</v>
      </c>
      <c r="C36" s="18" t="s">
        <v>125</v>
      </c>
      <c r="D36" s="19" t="n">
        <v>42</v>
      </c>
      <c r="E36" s="20" t="n">
        <v>13.6</v>
      </c>
      <c r="F36" s="21" t="n">
        <f aca="false">E36-D36</f>
        <v>-28.4</v>
      </c>
      <c r="G36" s="22" t="s">
        <v>126</v>
      </c>
    </row>
    <row r="37" customFormat="false" ht="15" hidden="false" customHeight="false" outlineLevel="0" collapsed="false">
      <c r="A37" s="13" t="s">
        <v>127</v>
      </c>
      <c r="B37" s="14"/>
      <c r="C37" s="14"/>
      <c r="D37" s="14"/>
      <c r="E37" s="14"/>
      <c r="F37" s="14"/>
      <c r="G37" s="14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1</v>
      </c>
      <c r="E38" s="15" t="n">
        <v>1</v>
      </c>
      <c r="F38" s="16" t="n">
        <f aca="false">E38-D38</f>
        <v>0</v>
      </c>
      <c r="G38" s="17"/>
    </row>
    <row r="39" customFormat="false" ht="15" hidden="false" customHeight="false" outlineLevel="0" collapsed="false">
      <c r="A39" s="4" t="s">
        <v>131</v>
      </c>
      <c r="B39" s="4" t="s">
        <v>132</v>
      </c>
      <c r="C39" s="4" t="s">
        <v>133</v>
      </c>
      <c r="D39" s="5" t="n">
        <v>5</v>
      </c>
      <c r="E39" s="15" t="n">
        <v>5</v>
      </c>
      <c r="F39" s="16" t="n">
        <f aca="false">E39-D39</f>
        <v>0</v>
      </c>
      <c r="G39" s="17"/>
    </row>
    <row r="41" customFormat="false" ht="15" hidden="false" customHeight="false" outlineLevel="0" collapsed="false">
      <c r="A41" s="23" t="s">
        <v>134</v>
      </c>
    </row>
    <row r="42" customFormat="false" ht="15" hidden="false" customHeight="false" outlineLevel="0" collapsed="false">
      <c r="A42" s="23" t="s">
        <v>135</v>
      </c>
    </row>
    <row r="43" customFormat="false" ht="15" hidden="false" customHeight="false" outlineLevel="0" collapsed="false">
      <c r="A43" s="23" t="s">
        <v>136</v>
      </c>
    </row>
    <row r="44" customFormat="false" ht="15" hidden="false" customHeight="false" outlineLevel="0" collapsed="false">
      <c r="A44" s="23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31.5" hidden="false" customHeight="true" outlineLevel="0" collapsed="false">
      <c r="A4" s="3" t="s">
        <v>140</v>
      </c>
      <c r="B4" s="3" t="s">
        <v>141</v>
      </c>
      <c r="C4" s="3" t="s">
        <v>34</v>
      </c>
      <c r="D4" s="3" t="s">
        <v>142</v>
      </c>
      <c r="E4" s="3" t="s">
        <v>143</v>
      </c>
    </row>
    <row r="5" customFormat="false" ht="15" hidden="false" customHeight="false" outlineLevel="0" collapsed="false">
      <c r="A5" s="4" t="s">
        <v>144</v>
      </c>
      <c r="B5" s="4" t="s">
        <v>145</v>
      </c>
      <c r="C5" s="4" t="s">
        <v>49</v>
      </c>
      <c r="D5" s="15" t="n">
        <v>320</v>
      </c>
      <c r="E5" s="4" t="s">
        <v>146</v>
      </c>
    </row>
    <row r="6" customFormat="false" ht="15" hidden="false" customHeight="false" outlineLevel="0" collapsed="false">
      <c r="A6" s="4" t="s">
        <v>147</v>
      </c>
      <c r="B6" s="4" t="s">
        <v>148</v>
      </c>
      <c r="C6" s="4" t="s">
        <v>49</v>
      </c>
      <c r="D6" s="15" t="n">
        <v>38</v>
      </c>
      <c r="E6" s="4" t="s">
        <v>149</v>
      </c>
    </row>
    <row r="7" customFormat="false" ht="15" hidden="false" customHeight="false" outlineLevel="0" collapsed="false">
      <c r="A7" s="4" t="s">
        <v>150</v>
      </c>
      <c r="B7" s="4" t="s">
        <v>151</v>
      </c>
      <c r="C7" s="4" t="s">
        <v>152</v>
      </c>
      <c r="D7" s="15" t="n">
        <v>28.6</v>
      </c>
      <c r="E7" s="4" t="s">
        <v>153</v>
      </c>
    </row>
    <row r="8" customFormat="false" ht="15" hidden="false" customHeight="false" outlineLevel="0" collapsed="false">
      <c r="A8" s="4" t="s">
        <v>154</v>
      </c>
      <c r="B8" s="4" t="s">
        <v>155</v>
      </c>
      <c r="C8" s="4" t="s">
        <v>49</v>
      </c>
      <c r="D8" s="15" t="n">
        <v>65</v>
      </c>
      <c r="E8" s="4" t="s">
        <v>156</v>
      </c>
    </row>
    <row r="9" customFormat="false" ht="15" hidden="false" customHeight="false" outlineLevel="0" collapsed="false">
      <c r="A9" s="4" t="s">
        <v>157</v>
      </c>
      <c r="B9" s="4" t="s">
        <v>158</v>
      </c>
      <c r="C9" s="4" t="s">
        <v>49</v>
      </c>
      <c r="D9" s="15" t="n">
        <v>80</v>
      </c>
      <c r="E9" s="4" t="s">
        <v>156</v>
      </c>
    </row>
    <row r="10" customFormat="false" ht="15" hidden="false" customHeight="false" outlineLevel="0" collapsed="false">
      <c r="A10" s="4" t="s">
        <v>159</v>
      </c>
      <c r="B10" s="4" t="s">
        <v>160</v>
      </c>
      <c r="C10" s="4" t="s">
        <v>49</v>
      </c>
      <c r="D10" s="15" t="n">
        <v>60</v>
      </c>
      <c r="E10" s="4" t="s">
        <v>156</v>
      </c>
    </row>
    <row r="11" customFormat="false" ht="15" hidden="false" customHeight="false" outlineLevel="0" collapsed="false">
      <c r="A11" s="4" t="s">
        <v>161</v>
      </c>
      <c r="B11" s="4" t="s">
        <v>162</v>
      </c>
      <c r="C11" s="4" t="s">
        <v>49</v>
      </c>
      <c r="D11" s="15" t="n">
        <v>50</v>
      </c>
      <c r="E11" s="4" t="s">
        <v>156</v>
      </c>
    </row>
    <row r="12" customFormat="false" ht="15" hidden="false" customHeight="false" outlineLevel="0" collapsed="false">
      <c r="A12" s="4" t="s">
        <v>163</v>
      </c>
      <c r="B12" s="4" t="s">
        <v>164</v>
      </c>
      <c r="C12" s="4" t="s">
        <v>49</v>
      </c>
      <c r="D12" s="15" t="n">
        <v>50</v>
      </c>
      <c r="E12" s="4" t="s">
        <v>156</v>
      </c>
    </row>
    <row r="13" customFormat="false" ht="15" hidden="false" customHeight="false" outlineLevel="0" collapsed="false">
      <c r="A13" s="4" t="s">
        <v>165</v>
      </c>
      <c r="B13" s="4" t="s">
        <v>166</v>
      </c>
      <c r="C13" s="4" t="s">
        <v>167</v>
      </c>
      <c r="D13" s="15" t="n">
        <v>80.02</v>
      </c>
      <c r="E13" s="4" t="s">
        <v>153</v>
      </c>
    </row>
    <row r="14" customFormat="false" ht="15" hidden="false" customHeight="false" outlineLevel="0" collapsed="false">
      <c r="A14" s="4" t="s">
        <v>168</v>
      </c>
      <c r="B14" s="4" t="s">
        <v>169</v>
      </c>
      <c r="C14" s="4" t="s">
        <v>167</v>
      </c>
      <c r="D14" s="15" t="n">
        <v>54.41</v>
      </c>
      <c r="E14" s="4" t="s">
        <v>153</v>
      </c>
    </row>
    <row r="15" customFormat="false" ht="15" hidden="false" customHeight="false" outlineLevel="0" collapsed="false">
      <c r="A15" s="4" t="s">
        <v>170</v>
      </c>
      <c r="B15" s="4" t="s">
        <v>171</v>
      </c>
      <c r="C15" s="4" t="s">
        <v>167</v>
      </c>
      <c r="D15" s="15" t="n">
        <v>35.96</v>
      </c>
      <c r="E15" s="4" t="s">
        <v>153</v>
      </c>
    </row>
    <row r="16" customFormat="false" ht="15" hidden="false" customHeight="false" outlineLevel="0" collapsed="false">
      <c r="A16" s="4" t="s">
        <v>172</v>
      </c>
      <c r="B16" s="4" t="s">
        <v>173</v>
      </c>
      <c r="C16" s="4" t="s">
        <v>167</v>
      </c>
      <c r="D16" s="15" t="n">
        <v>20.06</v>
      </c>
      <c r="E16" s="4" t="s">
        <v>153</v>
      </c>
    </row>
    <row r="17" customFormat="false" ht="15" hidden="false" customHeight="false" outlineLevel="0" collapsed="false">
      <c r="A17" s="4" t="s">
        <v>174</v>
      </c>
      <c r="B17" s="4" t="s">
        <v>175</v>
      </c>
      <c r="C17" s="4" t="s">
        <v>167</v>
      </c>
      <c r="D17" s="15" t="n">
        <v>7.96</v>
      </c>
      <c r="E17" s="4" t="s">
        <v>153</v>
      </c>
    </row>
    <row r="18" customFormat="false" ht="15" hidden="false" customHeight="false" outlineLevel="0" collapsed="false">
      <c r="A18" s="4" t="s">
        <v>176</v>
      </c>
      <c r="B18" s="4" t="s">
        <v>177</v>
      </c>
      <c r="C18" s="4" t="s">
        <v>178</v>
      </c>
      <c r="D18" s="15" t="n">
        <v>349.9</v>
      </c>
      <c r="E18" s="4" t="s">
        <v>153</v>
      </c>
    </row>
    <row r="19" customFormat="false" ht="15" hidden="false" customHeight="false" outlineLevel="0" collapsed="false">
      <c r="A19" s="4" t="s">
        <v>179</v>
      </c>
      <c r="B19" s="4" t="s">
        <v>180</v>
      </c>
      <c r="C19" s="4" t="s">
        <v>109</v>
      </c>
      <c r="D19" s="15" t="n">
        <v>6.5</v>
      </c>
      <c r="E19" s="4" t="s">
        <v>181</v>
      </c>
    </row>
    <row r="20" customFormat="false" ht="15" hidden="false" customHeight="false" outlineLevel="0" collapsed="false">
      <c r="A20" s="4" t="s">
        <v>182</v>
      </c>
      <c r="B20" s="4" t="s">
        <v>183</v>
      </c>
      <c r="C20" s="4" t="s">
        <v>109</v>
      </c>
      <c r="D20" s="15" t="n">
        <v>7.5</v>
      </c>
      <c r="E20" s="4" t="s">
        <v>156</v>
      </c>
    </row>
    <row r="21" customFormat="false" ht="15" hidden="false" customHeight="false" outlineLevel="0" collapsed="false">
      <c r="A21" s="4" t="s">
        <v>184</v>
      </c>
      <c r="B21" s="4" t="s">
        <v>185</v>
      </c>
      <c r="C21" s="4" t="s">
        <v>113</v>
      </c>
      <c r="D21" s="15" t="n">
        <v>1.14</v>
      </c>
      <c r="E21" s="4" t="s">
        <v>186</v>
      </c>
    </row>
    <row r="22" customFormat="false" ht="15" hidden="false" customHeight="false" outlineLevel="0" collapsed="false">
      <c r="A22" s="4" t="s">
        <v>187</v>
      </c>
      <c r="B22" s="4" t="s">
        <v>188</v>
      </c>
      <c r="C22" s="4" t="s">
        <v>113</v>
      </c>
      <c r="D22" s="15" t="n">
        <v>1.6</v>
      </c>
      <c r="E22" s="4" t="s">
        <v>189</v>
      </c>
    </row>
    <row r="23" customFormat="false" ht="15" hidden="false" customHeight="false" outlineLevel="0" collapsed="false">
      <c r="A23" s="4" t="s">
        <v>190</v>
      </c>
      <c r="B23" s="4" t="s">
        <v>191</v>
      </c>
      <c r="C23" s="4" t="s">
        <v>192</v>
      </c>
      <c r="D23" s="15" t="n">
        <v>55</v>
      </c>
      <c r="E23" s="4" t="s">
        <v>156</v>
      </c>
    </row>
    <row r="24" customFormat="false" ht="15" hidden="false" customHeight="false" outlineLevel="0" collapsed="false">
      <c r="A24" s="4" t="s">
        <v>193</v>
      </c>
      <c r="B24" s="4" t="s">
        <v>194</v>
      </c>
      <c r="C24" s="4" t="s">
        <v>192</v>
      </c>
      <c r="D24" s="15" t="n">
        <v>16</v>
      </c>
      <c r="E24" s="4" t="s">
        <v>156</v>
      </c>
    </row>
    <row r="25" customFormat="false" ht="15" hidden="false" customHeight="false" outlineLevel="0" collapsed="false">
      <c r="A25" s="4" t="s">
        <v>195</v>
      </c>
      <c r="B25" s="4" t="s">
        <v>196</v>
      </c>
      <c r="C25" s="4" t="s">
        <v>113</v>
      </c>
      <c r="D25" s="15" t="n">
        <v>120</v>
      </c>
      <c r="E25" s="4" t="s">
        <v>181</v>
      </c>
    </row>
    <row r="26" customFormat="false" ht="15" hidden="false" customHeight="false" outlineLevel="0" collapsed="false">
      <c r="A26" s="4" t="s">
        <v>197</v>
      </c>
      <c r="B26" s="4" t="s">
        <v>198</v>
      </c>
      <c r="C26" s="4" t="s">
        <v>199</v>
      </c>
      <c r="D26" s="15" t="n">
        <v>45</v>
      </c>
      <c r="E26" s="4" t="s">
        <v>156</v>
      </c>
    </row>
    <row r="27" customFormat="false" ht="15" hidden="false" customHeight="false" outlineLevel="0" collapsed="false">
      <c r="A27" s="4" t="s">
        <v>200</v>
      </c>
      <c r="B27" s="4" t="s">
        <v>201</v>
      </c>
      <c r="C27" s="4" t="s">
        <v>202</v>
      </c>
      <c r="D27" s="15" t="n">
        <v>460</v>
      </c>
      <c r="E27" s="4" t="s">
        <v>203</v>
      </c>
    </row>
    <row r="28" customFormat="false" ht="15" hidden="false" customHeight="false" outlineLevel="0" collapsed="false">
      <c r="A28" s="4" t="s">
        <v>204</v>
      </c>
      <c r="B28" s="4" t="s">
        <v>205</v>
      </c>
      <c r="C28" s="4" t="s">
        <v>206</v>
      </c>
      <c r="D28" s="15" t="n">
        <v>130</v>
      </c>
      <c r="E28" s="4" t="s">
        <v>156</v>
      </c>
    </row>
    <row r="29" customFormat="false" ht="15" hidden="false" customHeight="false" outlineLevel="0" collapsed="false">
      <c r="A29" s="4" t="s">
        <v>207</v>
      </c>
      <c r="B29" s="4" t="s">
        <v>208</v>
      </c>
      <c r="C29" s="4" t="s">
        <v>133</v>
      </c>
      <c r="D29" s="15" t="n">
        <v>75</v>
      </c>
      <c r="E29" s="4" t="s">
        <v>156</v>
      </c>
    </row>
    <row r="30" customFormat="false" ht="15" hidden="false" customHeight="false" outlineLevel="0" collapsed="false">
      <c r="A30" s="4" t="s">
        <v>209</v>
      </c>
      <c r="B30" s="4" t="s">
        <v>210</v>
      </c>
      <c r="C30" s="4" t="s">
        <v>199</v>
      </c>
      <c r="D30" s="15" t="n">
        <v>20</v>
      </c>
      <c r="E30" s="4" t="s">
        <v>156</v>
      </c>
    </row>
    <row r="31" customFormat="false" ht="15" hidden="false" customHeight="false" outlineLevel="0" collapsed="false">
      <c r="A31" s="4" t="s">
        <v>211</v>
      </c>
      <c r="B31" s="4" t="s">
        <v>212</v>
      </c>
      <c r="C31" s="4" t="s">
        <v>213</v>
      </c>
      <c r="D31" s="15" t="n">
        <v>150</v>
      </c>
      <c r="E31" s="4" t="s">
        <v>214</v>
      </c>
    </row>
    <row r="32" customFormat="false" ht="15" hidden="false" customHeight="false" outlineLevel="0" collapsed="false">
      <c r="A32" s="4" t="s">
        <v>215</v>
      </c>
      <c r="B32" s="4" t="s">
        <v>216</v>
      </c>
      <c r="C32" s="4" t="s">
        <v>130</v>
      </c>
      <c r="D32" s="15" t="n">
        <v>300</v>
      </c>
      <c r="E32" s="4" t="s">
        <v>217</v>
      </c>
    </row>
    <row r="33" customFormat="false" ht="15" hidden="false" customHeight="false" outlineLevel="0" collapsed="false">
      <c r="A33" s="4" t="s">
        <v>218</v>
      </c>
      <c r="B33" s="4" t="s">
        <v>219</v>
      </c>
      <c r="C33" s="4" t="s">
        <v>206</v>
      </c>
      <c r="D33" s="15" t="n">
        <v>130</v>
      </c>
      <c r="E33" s="4" t="s">
        <v>220</v>
      </c>
    </row>
    <row r="34" customFormat="false" ht="15" hidden="false" customHeight="false" outlineLevel="0" collapsed="false">
      <c r="A34" s="4" t="s">
        <v>221</v>
      </c>
      <c r="B34" s="4" t="s">
        <v>222</v>
      </c>
      <c r="C34" s="4" t="s">
        <v>206</v>
      </c>
      <c r="D34" s="15" t="n">
        <v>80</v>
      </c>
      <c r="E34" s="4" t="s">
        <v>223</v>
      </c>
    </row>
    <row r="35" customFormat="false" ht="15" hidden="false" customHeight="false" outlineLevel="0" collapsed="false">
      <c r="A35" s="4" t="s">
        <v>224</v>
      </c>
      <c r="B35" s="4" t="s">
        <v>225</v>
      </c>
      <c r="C35" s="4" t="s">
        <v>206</v>
      </c>
      <c r="D35" s="15" t="n">
        <v>100</v>
      </c>
      <c r="E35" s="4" t="s">
        <v>181</v>
      </c>
    </row>
    <row r="36" customFormat="false" ht="15" hidden="false" customHeight="false" outlineLevel="0" collapsed="false">
      <c r="A36" s="4" t="s">
        <v>226</v>
      </c>
      <c r="B36" s="4" t="s">
        <v>227</v>
      </c>
      <c r="C36" s="4" t="s">
        <v>206</v>
      </c>
      <c r="D36" s="15" t="n">
        <v>80</v>
      </c>
      <c r="E36" s="4" t="s">
        <v>181</v>
      </c>
    </row>
    <row r="37" customFormat="false" ht="15" hidden="false" customHeight="false" outlineLevel="0" collapsed="false">
      <c r="A37" s="4" t="s">
        <v>228</v>
      </c>
      <c r="B37" s="4" t="s">
        <v>229</v>
      </c>
      <c r="C37" s="4" t="s">
        <v>113</v>
      </c>
      <c r="D37" s="15" t="n">
        <v>1000</v>
      </c>
      <c r="E37" s="4" t="s">
        <v>214</v>
      </c>
    </row>
    <row r="38" customFormat="false" ht="15" hidden="false" customHeight="false" outlineLevel="0" collapsed="false">
      <c r="A38" s="4" t="s">
        <v>230</v>
      </c>
      <c r="B38" s="4" t="s">
        <v>231</v>
      </c>
      <c r="C38" s="4" t="s">
        <v>113</v>
      </c>
      <c r="D38" s="15" t="n">
        <v>400</v>
      </c>
      <c r="E38" s="4" t="s">
        <v>214</v>
      </c>
    </row>
    <row r="39" customFormat="false" ht="15" hidden="false" customHeight="false" outlineLevel="0" collapsed="false">
      <c r="A39" s="4" t="s">
        <v>232</v>
      </c>
      <c r="B39" s="4" t="s">
        <v>233</v>
      </c>
      <c r="C39" s="4" t="s">
        <v>192</v>
      </c>
      <c r="D39" s="15" t="n">
        <v>95</v>
      </c>
      <c r="E39" s="4" t="s">
        <v>234</v>
      </c>
    </row>
    <row r="40" customFormat="false" ht="15" hidden="false" customHeight="false" outlineLevel="0" collapsed="false">
      <c r="A40" s="4" t="s">
        <v>235</v>
      </c>
      <c r="B40" s="4" t="s">
        <v>236</v>
      </c>
      <c r="C40" s="4" t="s">
        <v>113</v>
      </c>
      <c r="D40" s="15" t="n">
        <v>32</v>
      </c>
      <c r="E40" s="4" t="s">
        <v>237</v>
      </c>
    </row>
    <row r="41" customFormat="false" ht="15" hidden="false" customHeight="false" outlineLevel="0" collapsed="false">
      <c r="A41" s="4" t="s">
        <v>238</v>
      </c>
      <c r="B41" s="4" t="s">
        <v>239</v>
      </c>
      <c r="C41" s="4" t="s">
        <v>130</v>
      </c>
      <c r="D41" s="15" t="n">
        <v>900</v>
      </c>
      <c r="E41" s="4" t="s">
        <v>240</v>
      </c>
    </row>
    <row r="42" customFormat="false" ht="15" hidden="false" customHeight="false" outlineLevel="0" collapsed="false">
      <c r="A42" s="4" t="s">
        <v>241</v>
      </c>
      <c r="B42" s="4" t="s">
        <v>242</v>
      </c>
      <c r="C42" s="4" t="s">
        <v>4</v>
      </c>
      <c r="D42" s="15" t="n">
        <v>0.45</v>
      </c>
      <c r="E42" s="4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245</v>
      </c>
    </row>
    <row r="4" customFormat="false" ht="31.5" hidden="false" customHeight="true" outlineLevel="0" collapsed="false">
      <c r="A4" s="3" t="s">
        <v>246</v>
      </c>
      <c r="B4" s="3" t="s">
        <v>247</v>
      </c>
      <c r="C4" s="3" t="s">
        <v>34</v>
      </c>
      <c r="D4" s="3" t="s">
        <v>248</v>
      </c>
      <c r="E4" s="3" t="s">
        <v>249</v>
      </c>
      <c r="F4" s="3" t="s">
        <v>250</v>
      </c>
      <c r="G4" s="3" t="s">
        <v>251</v>
      </c>
    </row>
    <row r="5" customFormat="false" ht="15" hidden="false" customHeight="false" outlineLevel="0" collapsed="false">
      <c r="A5" s="13" t="s">
        <v>252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253</v>
      </c>
      <c r="C6" s="4" t="s">
        <v>49</v>
      </c>
      <c r="D6" s="24" t="n">
        <v>37</v>
      </c>
      <c r="E6" s="5" t="n">
        <f aca="false">Precios!$D$5</f>
        <v>320</v>
      </c>
      <c r="F6" s="5" t="n">
        <f aca="false">D6*E6</f>
        <v>11840</v>
      </c>
      <c r="G6" s="4" t="s">
        <v>254</v>
      </c>
    </row>
    <row r="7" customFormat="false" ht="15" hidden="false" customHeight="false" outlineLevel="0" collapsed="false">
      <c r="A7" s="4" t="n">
        <v>2</v>
      </c>
      <c r="B7" s="4" t="s">
        <v>255</v>
      </c>
      <c r="C7" s="4" t="s">
        <v>49</v>
      </c>
      <c r="D7" s="24" t="n">
        <v>37</v>
      </c>
      <c r="E7" s="5" t="n">
        <f aca="false">Precios!$D$6</f>
        <v>38</v>
      </c>
      <c r="F7" s="5" t="n">
        <f aca="false">D7*E7</f>
        <v>1406</v>
      </c>
      <c r="G7" s="4"/>
    </row>
    <row r="8" customFormat="false" ht="15" hidden="false" customHeight="false" outlineLevel="0" collapsed="false">
      <c r="A8" s="4" t="n">
        <v>3</v>
      </c>
      <c r="B8" s="4" t="s">
        <v>256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257</v>
      </c>
    </row>
    <row r="9" customFormat="false" ht="15" hidden="false" customHeight="false" outlineLevel="0" collapsed="false">
      <c r="A9" s="4" t="n">
        <v>4</v>
      </c>
      <c r="B9" s="4" t="s">
        <v>258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259</v>
      </c>
    </row>
    <row r="10" customFormat="false" ht="15" hidden="false" customHeight="false" outlineLevel="0" collapsed="false">
      <c r="A10" s="13" t="s">
        <v>260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261</v>
      </c>
      <c r="C11" s="4" t="s">
        <v>152</v>
      </c>
      <c r="D11" s="24" t="n">
        <v>73</v>
      </c>
      <c r="E11" s="5" t="n">
        <f aca="false">Precios!$D$7</f>
        <v>28.6</v>
      </c>
      <c r="F11" s="5" t="n">
        <f aca="false">D11*E11</f>
        <v>2087.8</v>
      </c>
      <c r="G11" s="4" t="s">
        <v>262</v>
      </c>
    </row>
    <row r="12" customFormat="false" ht="15" hidden="false" customHeight="false" outlineLevel="0" collapsed="false">
      <c r="A12" s="4" t="n">
        <v>6</v>
      </c>
      <c r="B12" s="4" t="s">
        <v>263</v>
      </c>
      <c r="C12" s="4" t="s">
        <v>49</v>
      </c>
      <c r="D12" s="24" t="n">
        <v>12.4</v>
      </c>
      <c r="E12" s="5" t="n">
        <f aca="false">Precios!$D$10</f>
        <v>60</v>
      </c>
      <c r="F12" s="5" t="n">
        <f aca="false">D12*E12</f>
        <v>744</v>
      </c>
      <c r="G12" s="4" t="s">
        <v>264</v>
      </c>
    </row>
    <row r="13" customFormat="false" ht="15" hidden="false" customHeight="false" outlineLevel="0" collapsed="false">
      <c r="A13" s="4" t="n">
        <v>7</v>
      </c>
      <c r="B13" s="4" t="s">
        <v>265</v>
      </c>
      <c r="C13" s="4" t="s">
        <v>49</v>
      </c>
      <c r="D13" s="24" t="n">
        <v>3</v>
      </c>
      <c r="E13" s="5" t="n">
        <f aca="false">Precios!$D$8</f>
        <v>65</v>
      </c>
      <c r="F13" s="5" t="n">
        <f aca="false">D13*E13</f>
        <v>195</v>
      </c>
      <c r="G13" s="4" t="s">
        <v>266</v>
      </c>
    </row>
    <row r="14" customFormat="false" ht="15" hidden="false" customHeight="false" outlineLevel="0" collapsed="false">
      <c r="A14" s="4" t="n">
        <v>8</v>
      </c>
      <c r="B14" s="4" t="s">
        <v>267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268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269</v>
      </c>
      <c r="C16" s="4" t="s">
        <v>49</v>
      </c>
      <c r="D16" s="24" t="n">
        <v>2.3</v>
      </c>
      <c r="E16" s="5" t="n">
        <f aca="false">Precios!$D$12</f>
        <v>50</v>
      </c>
      <c r="F16" s="5" t="n">
        <f aca="false">D16*E16</f>
        <v>115</v>
      </c>
      <c r="G16" s="4"/>
    </row>
    <row r="17" customFormat="false" ht="15" hidden="false" customHeight="false" outlineLevel="0" collapsed="false">
      <c r="A17" s="13" t="s">
        <v>270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166</v>
      </c>
      <c r="C18" s="4" t="s">
        <v>167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271</v>
      </c>
    </row>
    <row r="19" customFormat="false" ht="15" hidden="false" customHeight="false" outlineLevel="0" collapsed="false">
      <c r="A19" s="4" t="n">
        <v>12</v>
      </c>
      <c r="B19" s="4" t="s">
        <v>169</v>
      </c>
      <c r="C19" s="4" t="s">
        <v>167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272</v>
      </c>
    </row>
    <row r="20" customFormat="false" ht="15" hidden="false" customHeight="false" outlineLevel="0" collapsed="false">
      <c r="A20" s="4" t="n">
        <v>13</v>
      </c>
      <c r="B20" s="4" t="s">
        <v>171</v>
      </c>
      <c r="C20" s="4" t="s">
        <v>167</v>
      </c>
      <c r="D20" s="24" t="n">
        <v>179</v>
      </c>
      <c r="E20" s="5" t="n">
        <f aca="false">Precios!$D$15</f>
        <v>35.96</v>
      </c>
      <c r="F20" s="5" t="n">
        <f aca="false">D20*E20</f>
        <v>6436.84</v>
      </c>
      <c r="G20" s="4" t="s">
        <v>273</v>
      </c>
    </row>
    <row r="21" customFormat="false" ht="15" hidden="false" customHeight="false" outlineLevel="0" collapsed="false">
      <c r="A21" s="4" t="n">
        <v>14</v>
      </c>
      <c r="B21" s="4" t="s">
        <v>173</v>
      </c>
      <c r="C21" s="4" t="s">
        <v>167</v>
      </c>
      <c r="D21" s="24" t="n">
        <v>134</v>
      </c>
      <c r="E21" s="5" t="n">
        <f aca="false">Precios!$D$16</f>
        <v>20.06</v>
      </c>
      <c r="F21" s="5" t="n">
        <f aca="false">D21*E21</f>
        <v>2688.04</v>
      </c>
      <c r="G21" s="4" t="s">
        <v>274</v>
      </c>
    </row>
    <row r="22" customFormat="false" ht="15" hidden="false" customHeight="false" outlineLevel="0" collapsed="false">
      <c r="A22" s="4" t="n">
        <v>15</v>
      </c>
      <c r="B22" s="4" t="s">
        <v>175</v>
      </c>
      <c r="C22" s="4" t="s">
        <v>167</v>
      </c>
      <c r="D22" s="24" t="n">
        <v>15</v>
      </c>
      <c r="E22" s="5" t="n">
        <f aca="false">Precios!$D$17</f>
        <v>7.96</v>
      </c>
      <c r="F22" s="5" t="n">
        <f aca="false">D22*E22</f>
        <v>119.4</v>
      </c>
      <c r="G22" s="4" t="s">
        <v>275</v>
      </c>
    </row>
    <row r="23" customFormat="false" ht="15" hidden="false" customHeight="false" outlineLevel="0" collapsed="false">
      <c r="A23" s="4" t="n">
        <v>16</v>
      </c>
      <c r="B23" s="4" t="s">
        <v>276</v>
      </c>
      <c r="C23" s="4" t="s">
        <v>178</v>
      </c>
      <c r="D23" s="24" t="n">
        <v>2</v>
      </c>
      <c r="E23" s="5" t="n">
        <f aca="false">Precios!$D$18</f>
        <v>349.9</v>
      </c>
      <c r="F23" s="5" t="n">
        <f aca="false">D23*E23</f>
        <v>699.8</v>
      </c>
      <c r="G23" s="4" t="s">
        <v>277</v>
      </c>
    </row>
    <row r="24" customFormat="false" ht="15" hidden="false" customHeight="false" outlineLevel="0" collapsed="false">
      <c r="A24" s="13" t="s">
        <v>278</v>
      </c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4" t="n">
        <v>17</v>
      </c>
      <c r="B25" s="4" t="s">
        <v>279</v>
      </c>
      <c r="C25" s="4" t="s">
        <v>109</v>
      </c>
      <c r="D25" s="24" t="n">
        <v>58</v>
      </c>
      <c r="E25" s="5" t="n">
        <f aca="false">Precios!$D$19</f>
        <v>6.5</v>
      </c>
      <c r="F25" s="5" t="n">
        <f aca="false">D25*E25</f>
        <v>377</v>
      </c>
      <c r="G25" s="4" t="s">
        <v>280</v>
      </c>
    </row>
    <row r="26" customFormat="false" ht="15" hidden="false" customHeight="false" outlineLevel="0" collapsed="false">
      <c r="A26" s="4" t="n">
        <v>18</v>
      </c>
      <c r="B26" s="4" t="s">
        <v>281</v>
      </c>
      <c r="C26" s="4" t="s">
        <v>109</v>
      </c>
      <c r="D26" s="24" t="n">
        <v>35</v>
      </c>
      <c r="E26" s="5" t="n">
        <f aca="false">Precios!$D$20</f>
        <v>7.5</v>
      </c>
      <c r="F26" s="5" t="n">
        <f aca="false">D26*E26</f>
        <v>262.5</v>
      </c>
      <c r="G26" s="4" t="s">
        <v>282</v>
      </c>
    </row>
    <row r="27" customFormat="false" ht="15" hidden="false" customHeight="false" outlineLevel="0" collapsed="false">
      <c r="A27" s="4" t="n">
        <v>19</v>
      </c>
      <c r="B27" s="4" t="s">
        <v>283</v>
      </c>
      <c r="C27" s="4" t="s">
        <v>113</v>
      </c>
      <c r="D27" s="24" t="n">
        <v>2150</v>
      </c>
      <c r="E27" s="5" t="n">
        <f aca="false">Precios!$D$22</f>
        <v>1.6</v>
      </c>
      <c r="F27" s="5" t="n">
        <f aca="false">D27*E27</f>
        <v>3440</v>
      </c>
      <c r="G27" s="4" t="s">
        <v>284</v>
      </c>
    </row>
    <row r="28" customFormat="false" ht="15" hidden="false" customHeight="false" outlineLevel="0" collapsed="false">
      <c r="A28" s="4" t="n">
        <v>20</v>
      </c>
      <c r="B28" s="4" t="s">
        <v>285</v>
      </c>
      <c r="C28" s="4" t="s">
        <v>113</v>
      </c>
      <c r="D28" s="24" t="n">
        <v>1805</v>
      </c>
      <c r="E28" s="5" t="n">
        <f aca="false">Precios!$D$21</f>
        <v>1.14</v>
      </c>
      <c r="F28" s="5" t="n">
        <f aca="false">D28*E28</f>
        <v>2057.7</v>
      </c>
      <c r="G28" s="4" t="s">
        <v>286</v>
      </c>
    </row>
    <row r="29" customFormat="false" ht="15" hidden="false" customHeight="false" outlineLevel="0" collapsed="false">
      <c r="A29" s="4" t="n">
        <v>21</v>
      </c>
      <c r="B29" s="4" t="s">
        <v>287</v>
      </c>
      <c r="C29" s="4" t="s">
        <v>192</v>
      </c>
      <c r="D29" s="24" t="n">
        <v>3</v>
      </c>
      <c r="E29" s="5" t="n">
        <f aca="false">Precios!$D$23</f>
        <v>55</v>
      </c>
      <c r="F29" s="5" t="n">
        <f aca="false">D29*E29</f>
        <v>165</v>
      </c>
      <c r="G29" s="4" t="s">
        <v>288</v>
      </c>
    </row>
    <row r="30" customFormat="false" ht="15" hidden="false" customHeight="false" outlineLevel="0" collapsed="false">
      <c r="A30" s="4" t="n">
        <v>22</v>
      </c>
      <c r="B30" s="4" t="s">
        <v>289</v>
      </c>
      <c r="C30" s="4" t="s">
        <v>192</v>
      </c>
      <c r="D30" s="24" t="n">
        <v>2</v>
      </c>
      <c r="E30" s="5" t="n">
        <f aca="false">Precios!$D$24</f>
        <v>16</v>
      </c>
      <c r="F30" s="5" t="n">
        <f aca="false">D30*E30</f>
        <v>32</v>
      </c>
      <c r="G30" s="4" t="s">
        <v>290</v>
      </c>
    </row>
    <row r="31" customFormat="false" ht="15" hidden="false" customHeight="false" outlineLevel="0" collapsed="false">
      <c r="A31" s="4" t="n">
        <v>23</v>
      </c>
      <c r="B31" s="4" t="s">
        <v>291</v>
      </c>
      <c r="C31" s="4" t="s">
        <v>113</v>
      </c>
      <c r="D31" s="24" t="n">
        <v>1</v>
      </c>
      <c r="E31" s="5" t="n">
        <f aca="false">Precios!$D$25</f>
        <v>120</v>
      </c>
      <c r="F31" s="5" t="n">
        <f aca="false">D31*E31</f>
        <v>120</v>
      </c>
      <c r="G31" s="4" t="s">
        <v>292</v>
      </c>
    </row>
    <row r="32" customFormat="false" ht="15" hidden="false" customHeight="false" outlineLevel="0" collapsed="false">
      <c r="A32" s="4" t="n">
        <v>24</v>
      </c>
      <c r="B32" s="4" t="s">
        <v>293</v>
      </c>
      <c r="C32" s="4" t="s">
        <v>199</v>
      </c>
      <c r="D32" s="24" t="n">
        <v>4</v>
      </c>
      <c r="E32" s="5" t="n">
        <f aca="false">Precios!$D$26</f>
        <v>45</v>
      </c>
      <c r="F32" s="5" t="n">
        <f aca="false">D32*E32</f>
        <v>180</v>
      </c>
      <c r="G32" s="4"/>
    </row>
    <row r="33" customFormat="false" ht="15" hidden="false" customHeight="false" outlineLevel="0" collapsed="false">
      <c r="E33" s="7" t="s">
        <v>25</v>
      </c>
      <c r="F33" s="8" t="n">
        <f aca="false">SUM(F5:F32)</f>
        <v>53866.39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246</v>
      </c>
      <c r="B4" s="3" t="s">
        <v>2</v>
      </c>
      <c r="C4" s="3" t="s">
        <v>34</v>
      </c>
      <c r="D4" s="3" t="s">
        <v>248</v>
      </c>
      <c r="E4" s="3" t="s">
        <v>249</v>
      </c>
      <c r="F4" s="3" t="s">
        <v>250</v>
      </c>
      <c r="G4" s="3" t="s">
        <v>295</v>
      </c>
    </row>
    <row r="5" customFormat="false" ht="15" hidden="false" customHeight="false" outlineLevel="0" collapsed="false">
      <c r="A5" s="4" t="n">
        <v>1</v>
      </c>
      <c r="B5" s="4" t="s">
        <v>296</v>
      </c>
      <c r="C5" s="4" t="s">
        <v>202</v>
      </c>
      <c r="D5" s="24" t="n">
        <v>5</v>
      </c>
      <c r="E5" s="5" t="n">
        <f aca="false">Precios!$D$27</f>
        <v>460</v>
      </c>
      <c r="F5" s="5" t="n">
        <f aca="false">D5*E5</f>
        <v>2300</v>
      </c>
      <c r="G5" s="4" t="s">
        <v>297</v>
      </c>
    </row>
    <row r="6" customFormat="false" ht="15" hidden="false" customHeight="false" outlineLevel="0" collapsed="false">
      <c r="A6" s="4" t="n">
        <v>2</v>
      </c>
      <c r="B6" s="4" t="s">
        <v>298</v>
      </c>
      <c r="C6" s="4" t="s">
        <v>206</v>
      </c>
      <c r="D6" s="24" t="n">
        <v>9</v>
      </c>
      <c r="E6" s="5" t="n">
        <f aca="false">Precios!$D$28</f>
        <v>130</v>
      </c>
      <c r="F6" s="5" t="n">
        <f aca="false">D6*E6</f>
        <v>1170</v>
      </c>
      <c r="G6" s="4" t="s">
        <v>299</v>
      </c>
    </row>
    <row r="7" customFormat="false" ht="15" hidden="false" customHeight="false" outlineLevel="0" collapsed="false">
      <c r="A7" s="4" t="n">
        <v>3</v>
      </c>
      <c r="B7" s="4" t="s">
        <v>132</v>
      </c>
      <c r="C7" s="4" t="s">
        <v>133</v>
      </c>
      <c r="D7" s="24" t="n">
        <v>5</v>
      </c>
      <c r="E7" s="5" t="n">
        <f aca="false">Precios!$D$29</f>
        <v>75</v>
      </c>
      <c r="F7" s="5" t="n">
        <f aca="false">D7*E7</f>
        <v>375</v>
      </c>
      <c r="G7" s="4" t="s">
        <v>300</v>
      </c>
    </row>
    <row r="8" customFormat="false" ht="15" hidden="false" customHeight="false" outlineLevel="0" collapsed="false">
      <c r="A8" s="4" t="n">
        <v>4</v>
      </c>
      <c r="B8" s="4" t="s">
        <v>301</v>
      </c>
      <c r="C8" s="4" t="s">
        <v>199</v>
      </c>
      <c r="D8" s="24" t="n">
        <v>20</v>
      </c>
      <c r="E8" s="5" t="n">
        <f aca="false">Precios!$D$30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302</v>
      </c>
      <c r="C9" s="4" t="s">
        <v>130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303</v>
      </c>
      <c r="C10" s="4" t="s">
        <v>130</v>
      </c>
      <c r="D10" s="25" t="n">
        <v>1</v>
      </c>
      <c r="E10" s="15" t="n">
        <v>300</v>
      </c>
      <c r="F10" s="5" t="n">
        <f aca="false">D10*E10</f>
        <v>300</v>
      </c>
      <c r="G10" s="4" t="s">
        <v>304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2"/>
    <col collapsed="false" customWidth="true" hidden="false" outlineLevel="0" max="13" min="13" style="0" width="20"/>
    <col collapsed="false" customWidth="true" hidden="false" outlineLevel="0" max="14" min="14" style="0" width="10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1" t="s">
        <v>305</v>
      </c>
    </row>
    <row r="2" customFormat="false" ht="15" hidden="false" customHeight="false" outlineLevel="0" collapsed="false">
      <c r="A2" s="2" t="s">
        <v>306</v>
      </c>
    </row>
    <row r="3" customFormat="false" ht="15" hidden="false" customHeight="false" outlineLevel="0" collapsed="false">
      <c r="M3" s="9" t="s">
        <v>307</v>
      </c>
      <c r="N3" s="26" t="n">
        <v>36000</v>
      </c>
      <c r="O3" s="9" t="s">
        <v>308</v>
      </c>
      <c r="P3" s="27" t="n">
        <f aca="false">N3/SUMPRODUCT(D5:D33,K5:K33)</f>
        <v>1.14206676014695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309</v>
      </c>
      <c r="E4" s="3" t="s">
        <v>310</v>
      </c>
      <c r="F4" s="3" t="s">
        <v>250</v>
      </c>
      <c r="G4" s="3"/>
      <c r="H4" s="3" t="s">
        <v>311</v>
      </c>
      <c r="I4" s="3" t="s">
        <v>312</v>
      </c>
      <c r="J4" s="3" t="s">
        <v>295</v>
      </c>
      <c r="K4" s="3" t="s">
        <v>313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5" t="n">
        <f aca="false">ROUND(K5*$P$3,2)</f>
        <v>2.28</v>
      </c>
      <c r="F5" s="5" t="n">
        <f aca="false">D5*E5</f>
        <v>387.6</v>
      </c>
      <c r="H5" s="24" t="n">
        <v>170</v>
      </c>
      <c r="I5" s="28" t="n">
        <f aca="false">D5/H5</f>
        <v>1</v>
      </c>
      <c r="J5" s="4"/>
      <c r="K5" s="15" t="n">
        <v>2</v>
      </c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5" t="n">
        <f aca="false">ROUND(K6*$P$3,2)</f>
        <v>3.43</v>
      </c>
      <c r="F6" s="5" t="n">
        <f aca="false">D6*E6</f>
        <v>583.1</v>
      </c>
      <c r="H6" s="24" t="n">
        <v>170</v>
      </c>
      <c r="I6" s="28" t="n">
        <f aca="false">D6/H6</f>
        <v>1</v>
      </c>
      <c r="J6" s="4"/>
      <c r="K6" s="15" t="n">
        <v>3</v>
      </c>
    </row>
    <row r="7" customFormat="false" ht="15" hidden="false" customHeight="false" outlineLevel="0" collapsed="false">
      <c r="A7" s="4" t="s">
        <v>47</v>
      </c>
      <c r="B7" s="4" t="s">
        <v>314</v>
      </c>
      <c r="C7" s="4" t="s">
        <v>49</v>
      </c>
      <c r="D7" s="5" t="n">
        <f aca="false">Metrados!$E$9+Metrados!$E$10</f>
        <v>120</v>
      </c>
      <c r="E7" s="5" t="n">
        <f aca="false">ROUND(K7*$P$3,2)</f>
        <v>36.55</v>
      </c>
      <c r="F7" s="5" t="n">
        <f aca="false">D7*E7</f>
        <v>4386</v>
      </c>
      <c r="H7" s="4" t="s">
        <v>315</v>
      </c>
      <c r="I7" s="28" t="n">
        <v>0</v>
      </c>
      <c r="J7" s="4" t="s">
        <v>316</v>
      </c>
      <c r="K7" s="15" t="n">
        <v>32</v>
      </c>
    </row>
    <row r="8" customFormat="false" ht="15" hidden="false" customHeight="false" outlineLevel="0" collapsed="false">
      <c r="A8" s="4" t="s">
        <v>51</v>
      </c>
      <c r="B8" s="4" t="s">
        <v>317</v>
      </c>
      <c r="C8" s="4" t="s">
        <v>42</v>
      </c>
      <c r="D8" s="15" t="n">
        <v>75.2</v>
      </c>
      <c r="E8" s="5" t="n">
        <f aca="false">ROUND(K8*$P$3,2)</f>
        <v>6.85</v>
      </c>
      <c r="F8" s="5" t="n">
        <f aca="false">D8*E8</f>
        <v>515.12</v>
      </c>
      <c r="H8" s="24" t="n">
        <v>25</v>
      </c>
      <c r="I8" s="28" t="n">
        <f aca="false">D8/H8</f>
        <v>3.008</v>
      </c>
      <c r="J8" s="4" t="s">
        <v>318</v>
      </c>
      <c r="K8" s="15" t="n">
        <v>6</v>
      </c>
    </row>
    <row r="9" customFormat="false" ht="15" hidden="false" customHeight="false" outlineLevel="0" collapsed="false">
      <c r="A9" s="4" t="s">
        <v>54</v>
      </c>
      <c r="B9" s="4" t="s">
        <v>319</v>
      </c>
      <c r="C9" s="4" t="s">
        <v>49</v>
      </c>
      <c r="D9" s="5" t="n">
        <f aca="false">Metrados!$E$11</f>
        <v>13.3</v>
      </c>
      <c r="E9" s="5" t="n">
        <f aca="false">ROUND(K9*$P$3,2)</f>
        <v>51.39</v>
      </c>
      <c r="F9" s="5" t="n">
        <f aca="false">D9*E9</f>
        <v>683.487</v>
      </c>
      <c r="H9" s="24" t="n">
        <v>4</v>
      </c>
      <c r="I9" s="28" t="n">
        <f aca="false">D9/H9</f>
        <v>3.325</v>
      </c>
      <c r="J9" s="4"/>
      <c r="K9" s="15" t="n">
        <v>45</v>
      </c>
    </row>
    <row r="10" customFormat="false" ht="15" hidden="false" customHeight="false" outlineLevel="0" collapsed="false">
      <c r="A10" s="4" t="s">
        <v>57</v>
      </c>
      <c r="B10" s="4" t="s">
        <v>320</v>
      </c>
      <c r="C10" s="4" t="s">
        <v>49</v>
      </c>
      <c r="D10" s="5" t="n">
        <f aca="false">Metrados!$E$12</f>
        <v>70.5</v>
      </c>
      <c r="E10" s="5" t="n">
        <f aca="false">ROUND(K10*$P$3,2)</f>
        <v>34.26</v>
      </c>
      <c r="F10" s="5" t="n">
        <f aca="false">D10*E10</f>
        <v>2415.33</v>
      </c>
      <c r="H10" s="24" t="n">
        <v>8</v>
      </c>
      <c r="I10" s="28" t="n">
        <f aca="false">D10/H10</f>
        <v>8.8125</v>
      </c>
      <c r="J10" s="4" t="s">
        <v>321</v>
      </c>
      <c r="K10" s="15" t="n">
        <v>30</v>
      </c>
    </row>
    <row r="11" customFormat="false" ht="15" hidden="false" customHeight="false" outlineLevel="0" collapsed="false">
      <c r="A11" s="4" t="s">
        <v>64</v>
      </c>
      <c r="B11" s="4" t="s">
        <v>322</v>
      </c>
      <c r="C11" s="4" t="s">
        <v>42</v>
      </c>
      <c r="D11" s="5" t="n">
        <f aca="false">Metrados!$E$15</f>
        <v>50</v>
      </c>
      <c r="E11" s="5" t="n">
        <f aca="false">ROUND(K11*$P$3,2)</f>
        <v>17.13</v>
      </c>
      <c r="F11" s="5" t="n">
        <f aca="false">D11*E11</f>
        <v>856.5</v>
      </c>
      <c r="H11" s="24" t="n">
        <v>35</v>
      </c>
      <c r="I11" s="28" t="n">
        <f aca="false">D11/H11</f>
        <v>1.42857142857143</v>
      </c>
      <c r="J11" s="4"/>
      <c r="K11" s="15" t="n">
        <v>15</v>
      </c>
    </row>
    <row r="12" customFormat="false" ht="15" hidden="false" customHeight="false" outlineLevel="0" collapsed="false">
      <c r="A12" s="4" t="s">
        <v>67</v>
      </c>
      <c r="B12" s="4" t="s">
        <v>323</v>
      </c>
      <c r="C12" s="4" t="s">
        <v>49</v>
      </c>
      <c r="D12" s="5" t="n">
        <f aca="false">Metrados!$E$16</f>
        <v>2.2</v>
      </c>
      <c r="E12" s="5" t="n">
        <f aca="false">ROUND(K12*$P$3,2)</f>
        <v>102.79</v>
      </c>
      <c r="F12" s="5" t="n">
        <f aca="false">D12*E12</f>
        <v>226.138</v>
      </c>
      <c r="H12" s="24" t="n">
        <v>4</v>
      </c>
      <c r="I12" s="28" t="n">
        <f aca="false">D12/H12</f>
        <v>0.55</v>
      </c>
      <c r="J12" s="4"/>
      <c r="K12" s="15" t="n">
        <v>90</v>
      </c>
    </row>
    <row r="13" customFormat="false" ht="15" hidden="false" customHeight="false" outlineLevel="0" collapsed="false">
      <c r="A13" s="4" t="s">
        <v>70</v>
      </c>
      <c r="B13" s="4" t="s">
        <v>324</v>
      </c>
      <c r="C13" s="4" t="s">
        <v>49</v>
      </c>
      <c r="D13" s="5" t="n">
        <f aca="false">Metrados!$E$17</f>
        <v>5.85</v>
      </c>
      <c r="E13" s="5" t="n">
        <f aca="false">ROUND(K13*$P$3,2)</f>
        <v>137.05</v>
      </c>
      <c r="F13" s="5" t="n">
        <f aca="false">D13*E13</f>
        <v>801.7425</v>
      </c>
      <c r="H13" s="24" t="n">
        <v>3</v>
      </c>
      <c r="I13" s="28" t="n">
        <f aca="false">D13/H13</f>
        <v>1.95</v>
      </c>
      <c r="J13" s="4"/>
      <c r="K13" s="15" t="n">
        <v>120</v>
      </c>
    </row>
    <row r="14" customFormat="false" ht="15" hidden="false" customHeight="false" outlineLevel="0" collapsed="false">
      <c r="A14" s="4" t="s">
        <v>73</v>
      </c>
      <c r="B14" s="4" t="s">
        <v>325</v>
      </c>
      <c r="C14" s="4" t="s">
        <v>42</v>
      </c>
      <c r="D14" s="5" t="n">
        <f aca="false">Metrados!$E$18</f>
        <v>78</v>
      </c>
      <c r="E14" s="5" t="n">
        <f aca="false">ROUND(K14*$P$3,2)</f>
        <v>25.13</v>
      </c>
      <c r="F14" s="5" t="n">
        <f aca="false">D14*E14</f>
        <v>1960.14</v>
      </c>
      <c r="H14" s="24" t="n">
        <v>14</v>
      </c>
      <c r="I14" s="28" t="n">
        <f aca="false">D14/H14</f>
        <v>5.57142857142857</v>
      </c>
      <c r="J14" s="4"/>
      <c r="K14" s="15" t="n">
        <v>22</v>
      </c>
    </row>
    <row r="15" customFormat="false" ht="15" hidden="false" customHeight="false" outlineLevel="0" collapsed="false">
      <c r="A15" s="4" t="s">
        <v>326</v>
      </c>
      <c r="B15" s="4" t="s">
        <v>327</v>
      </c>
      <c r="C15" s="4" t="s">
        <v>109</v>
      </c>
      <c r="D15" s="15" t="n">
        <v>823</v>
      </c>
      <c r="E15" s="5" t="n">
        <f aca="false">ROUND(K15*$P$3,2)</f>
        <v>1.26</v>
      </c>
      <c r="F15" s="5" t="n">
        <f aca="false">D15*E15</f>
        <v>1036.98</v>
      </c>
      <c r="H15" s="24" t="n">
        <v>350</v>
      </c>
      <c r="I15" s="28" t="n">
        <f aca="false">D15/H15</f>
        <v>2.35142857142857</v>
      </c>
      <c r="J15" s="4"/>
      <c r="K15" s="15" t="n">
        <v>1.1</v>
      </c>
    </row>
    <row r="16" customFormat="false" ht="15" hidden="false" customHeight="false" outlineLevel="0" collapsed="false">
      <c r="A16" s="4" t="s">
        <v>328</v>
      </c>
      <c r="B16" s="4" t="s">
        <v>329</v>
      </c>
      <c r="C16" s="4" t="s">
        <v>109</v>
      </c>
      <c r="D16" s="15" t="n">
        <v>2097</v>
      </c>
      <c r="E16" s="5" t="n">
        <f aca="false">ROUND(K16*$P$3,2)</f>
        <v>1.26</v>
      </c>
      <c r="F16" s="5" t="n">
        <f aca="false">D16*E16</f>
        <v>2642.22</v>
      </c>
      <c r="H16" s="24" t="n">
        <v>250</v>
      </c>
      <c r="I16" s="28" t="n">
        <f aca="false">D16/H16</f>
        <v>8.388</v>
      </c>
      <c r="J16" s="4"/>
      <c r="K16" s="15" t="n">
        <v>1.1</v>
      </c>
    </row>
    <row r="17" customFormat="false" ht="15" hidden="false" customHeight="false" outlineLevel="0" collapsed="false">
      <c r="A17" s="4" t="s">
        <v>83</v>
      </c>
      <c r="B17" s="4" t="s">
        <v>330</v>
      </c>
      <c r="C17" s="4" t="s">
        <v>42</v>
      </c>
      <c r="D17" s="15" t="n">
        <v>51.9</v>
      </c>
      <c r="E17" s="5" t="n">
        <f aca="false">ROUND(K17*$P$3,2)</f>
        <v>28.55</v>
      </c>
      <c r="F17" s="5" t="n">
        <f aca="false">D17*E17</f>
        <v>1481.745</v>
      </c>
      <c r="H17" s="24" t="n">
        <v>12</v>
      </c>
      <c r="I17" s="28" t="n">
        <f aca="false">D17/H17</f>
        <v>4.325</v>
      </c>
      <c r="J17" s="4" t="s">
        <v>331</v>
      </c>
      <c r="K17" s="15" t="n">
        <v>25</v>
      </c>
    </row>
    <row r="18" customFormat="false" ht="15" hidden="false" customHeight="false" outlineLevel="0" collapsed="false">
      <c r="A18" s="4" t="s">
        <v>86</v>
      </c>
      <c r="B18" s="4" t="s">
        <v>332</v>
      </c>
      <c r="C18" s="4" t="s">
        <v>42</v>
      </c>
      <c r="D18" s="5" t="n">
        <f aca="false">Metrados!$E$23</f>
        <v>7.4</v>
      </c>
      <c r="E18" s="5" t="n">
        <f aca="false">ROUND(K18*$P$3,2)</f>
        <v>5.71</v>
      </c>
      <c r="F18" s="5" t="n">
        <f aca="false">D18*E18</f>
        <v>42.254</v>
      </c>
      <c r="H18" s="24" t="n">
        <v>50</v>
      </c>
      <c r="I18" s="28" t="n">
        <f aca="false">D18/H18</f>
        <v>0.148</v>
      </c>
      <c r="J18" s="4"/>
      <c r="K18" s="15" t="n">
        <v>5</v>
      </c>
    </row>
    <row r="19" customFormat="false" ht="15" hidden="false" customHeight="false" outlineLevel="0" collapsed="false">
      <c r="A19" s="4" t="s">
        <v>77</v>
      </c>
      <c r="B19" s="4" t="s">
        <v>333</v>
      </c>
      <c r="C19" s="4" t="s">
        <v>49</v>
      </c>
      <c r="D19" s="15" t="n">
        <v>33.6</v>
      </c>
      <c r="E19" s="5" t="n">
        <f aca="false">ROUND(K19*$P$3,2)</f>
        <v>45.68</v>
      </c>
      <c r="F19" s="5" t="n">
        <f aca="false">D19*E19</f>
        <v>1534.848</v>
      </c>
      <c r="H19" s="24" t="n">
        <v>33.6</v>
      </c>
      <c r="I19" s="28" t="n">
        <f aca="false">D19/H19</f>
        <v>1</v>
      </c>
      <c r="J19" s="4" t="s">
        <v>334</v>
      </c>
      <c r="K19" s="15" t="n">
        <v>40</v>
      </c>
    </row>
    <row r="20" customFormat="false" ht="15" hidden="false" customHeight="false" outlineLevel="0" collapsed="false">
      <c r="A20" s="4" t="s">
        <v>335</v>
      </c>
      <c r="B20" s="4" t="s">
        <v>336</v>
      </c>
      <c r="C20" s="4" t="s">
        <v>109</v>
      </c>
      <c r="D20" s="15" t="n">
        <v>2646</v>
      </c>
      <c r="E20" s="5" t="n">
        <f aca="false">ROUND(K20*$P$3,2)</f>
        <v>1.48</v>
      </c>
      <c r="F20" s="5" t="n">
        <f aca="false">D20*E20</f>
        <v>3916.08</v>
      </c>
      <c r="H20" s="24" t="n">
        <v>200</v>
      </c>
      <c r="I20" s="28" t="n">
        <f aca="false">D20/H20</f>
        <v>13.23</v>
      </c>
      <c r="J20" s="4" t="s">
        <v>337</v>
      </c>
      <c r="K20" s="15" t="n">
        <v>1.3</v>
      </c>
    </row>
    <row r="21" customFormat="false" ht="15" hidden="false" customHeight="false" outlineLevel="0" collapsed="false">
      <c r="A21" s="4" t="s">
        <v>98</v>
      </c>
      <c r="B21" s="4" t="s">
        <v>338</v>
      </c>
      <c r="C21" s="4" t="s">
        <v>42</v>
      </c>
      <c r="D21" s="5" t="n">
        <f aca="false">Metrados!$E$27</f>
        <v>79.1</v>
      </c>
      <c r="E21" s="5" t="n">
        <f aca="false">ROUND(K21*$P$3,2)</f>
        <v>31.98</v>
      </c>
      <c r="F21" s="5" t="n">
        <f aca="false">D21*E21</f>
        <v>2529.618</v>
      </c>
      <c r="H21" s="24" t="n">
        <v>10</v>
      </c>
      <c r="I21" s="28" t="n">
        <f aca="false">D21/H21</f>
        <v>7.91</v>
      </c>
      <c r="J21" s="4"/>
      <c r="K21" s="15" t="n">
        <v>28</v>
      </c>
    </row>
    <row r="22" customFormat="false" ht="15" hidden="false" customHeight="false" outlineLevel="0" collapsed="false">
      <c r="A22" s="4" t="s">
        <v>95</v>
      </c>
      <c r="B22" s="4" t="s">
        <v>339</v>
      </c>
      <c r="C22" s="4" t="s">
        <v>49</v>
      </c>
      <c r="D22" s="15" t="n">
        <v>8.9</v>
      </c>
      <c r="E22" s="5" t="n">
        <f aca="false">ROUND(K22*$P$3,2)</f>
        <v>68.52</v>
      </c>
      <c r="F22" s="5" t="n">
        <f aca="false">D22*E22</f>
        <v>609.828</v>
      </c>
      <c r="H22" s="24" t="n">
        <v>8.9</v>
      </c>
      <c r="I22" s="28" t="n">
        <f aca="false">D22/H22</f>
        <v>1</v>
      </c>
      <c r="J22" s="4" t="s">
        <v>340</v>
      </c>
      <c r="K22" s="15" t="n">
        <v>60</v>
      </c>
    </row>
    <row r="23" customFormat="false" ht="15" hidden="false" customHeight="false" outlineLevel="0" collapsed="false">
      <c r="A23" s="4" t="s">
        <v>341</v>
      </c>
      <c r="B23" s="4" t="s">
        <v>342</v>
      </c>
      <c r="C23" s="4" t="s">
        <v>109</v>
      </c>
      <c r="D23" s="15" t="n">
        <v>304</v>
      </c>
      <c r="E23" s="5" t="n">
        <f aca="false">ROUND(K23*$P$3,2)</f>
        <v>1.37</v>
      </c>
      <c r="F23" s="5" t="n">
        <f aca="false">D23*E23</f>
        <v>416.48</v>
      </c>
      <c r="H23" s="24" t="n">
        <v>150</v>
      </c>
      <c r="I23" s="28" t="n">
        <f aca="false">D23/H23</f>
        <v>2.02666666666667</v>
      </c>
      <c r="J23" s="4"/>
      <c r="K23" s="15" t="n">
        <v>1.2</v>
      </c>
    </row>
    <row r="24" customFormat="false" ht="15" hidden="false" customHeight="false" outlineLevel="0" collapsed="false">
      <c r="A24" s="4" t="s">
        <v>104</v>
      </c>
      <c r="B24" s="4" t="s">
        <v>343</v>
      </c>
      <c r="C24" s="4" t="s">
        <v>42</v>
      </c>
      <c r="D24" s="5" t="n">
        <f aca="false">Metrados!$E$29</f>
        <v>21.9</v>
      </c>
      <c r="E24" s="5" t="n">
        <f aca="false">ROUND(K24*$P$3,2)</f>
        <v>28.55</v>
      </c>
      <c r="F24" s="5" t="n">
        <f aca="false">D24*E24</f>
        <v>625.245</v>
      </c>
      <c r="H24" s="24" t="n">
        <v>10</v>
      </c>
      <c r="I24" s="28" t="n">
        <f aca="false">D24/H24</f>
        <v>2.19</v>
      </c>
      <c r="J24" s="4"/>
      <c r="K24" s="15" t="n">
        <v>25</v>
      </c>
    </row>
    <row r="25" customFormat="false" ht="15" hidden="false" customHeight="false" outlineLevel="0" collapsed="false">
      <c r="A25" s="4" t="s">
        <v>344</v>
      </c>
      <c r="B25" s="4" t="s">
        <v>345</v>
      </c>
      <c r="C25" s="4" t="s">
        <v>49</v>
      </c>
      <c r="D25" s="15" t="n">
        <v>0.37</v>
      </c>
      <c r="E25" s="5" t="n">
        <f aca="false">ROUND(K25*$P$3,2)</f>
        <v>137.05</v>
      </c>
      <c r="F25" s="5" t="n">
        <f aca="false">D25*E25</f>
        <v>50.7085</v>
      </c>
      <c r="H25" s="24" t="n">
        <v>2</v>
      </c>
      <c r="I25" s="28" t="n">
        <f aca="false">D25/H25</f>
        <v>0.185</v>
      </c>
      <c r="J25" s="4"/>
      <c r="K25" s="15" t="n">
        <v>120</v>
      </c>
    </row>
    <row r="26" customFormat="false" ht="15" hidden="false" customHeight="false" outlineLevel="0" collapsed="false">
      <c r="A26" s="4" t="s">
        <v>111</v>
      </c>
      <c r="B26" s="4" t="s">
        <v>346</v>
      </c>
      <c r="C26" s="4" t="s">
        <v>113</v>
      </c>
      <c r="D26" s="5" t="n">
        <f aca="false">Metrados!$E$31</f>
        <v>8</v>
      </c>
      <c r="E26" s="5" t="n">
        <f aca="false">ROUND(K26*$P$3,2)</f>
        <v>22.84</v>
      </c>
      <c r="F26" s="5" t="n">
        <f aca="false">D26*E26</f>
        <v>182.72</v>
      </c>
      <c r="H26" s="24" t="n">
        <v>16</v>
      </c>
      <c r="I26" s="28" t="n">
        <f aca="false">D26/H26</f>
        <v>0.5</v>
      </c>
      <c r="J26" s="4"/>
      <c r="K26" s="15" t="n">
        <v>20</v>
      </c>
    </row>
    <row r="27" customFormat="false" ht="15" hidden="false" customHeight="false" outlineLevel="0" collapsed="false">
      <c r="A27" s="4" t="s">
        <v>115</v>
      </c>
      <c r="B27" s="4" t="s">
        <v>347</v>
      </c>
      <c r="C27" s="4" t="s">
        <v>42</v>
      </c>
      <c r="D27" s="5" t="n">
        <f aca="false">Metrados!$E$33</f>
        <v>29.8</v>
      </c>
      <c r="E27" s="5" t="n">
        <f aca="false">ROUND(K27*$P$3,2)</f>
        <v>39.97</v>
      </c>
      <c r="F27" s="5" t="n">
        <f aca="false">D27*E27</f>
        <v>1191.106</v>
      </c>
      <c r="H27" s="24" t="n">
        <v>10</v>
      </c>
      <c r="I27" s="28" t="n">
        <f aca="false">D27/H27</f>
        <v>2.98</v>
      </c>
      <c r="J27" s="4"/>
      <c r="K27" s="15" t="n">
        <v>35</v>
      </c>
    </row>
    <row r="28" customFormat="false" ht="15" hidden="false" customHeight="false" outlineLevel="0" collapsed="false">
      <c r="A28" s="4" t="s">
        <v>117</v>
      </c>
      <c r="B28" s="4" t="s">
        <v>348</v>
      </c>
      <c r="C28" s="4" t="s">
        <v>42</v>
      </c>
      <c r="D28" s="5" t="n">
        <f aca="false">Metrados!$E$34</f>
        <v>52.5</v>
      </c>
      <c r="E28" s="5" t="n">
        <f aca="false">ROUND(K28*$P$3,2)</f>
        <v>45.68</v>
      </c>
      <c r="F28" s="5" t="n">
        <f aca="false">D28*E28</f>
        <v>2398.2</v>
      </c>
      <c r="H28" s="24" t="n">
        <v>8</v>
      </c>
      <c r="I28" s="28" t="n">
        <f aca="false">D28/H28</f>
        <v>6.5625</v>
      </c>
      <c r="J28" s="4" t="s">
        <v>349</v>
      </c>
      <c r="K28" s="15" t="n">
        <v>40</v>
      </c>
    </row>
    <row r="29" customFormat="false" ht="15" hidden="false" customHeight="false" outlineLevel="0" collapsed="false">
      <c r="A29" s="4" t="s">
        <v>120</v>
      </c>
      <c r="B29" s="4" t="s">
        <v>350</v>
      </c>
      <c r="C29" s="4" t="s">
        <v>42</v>
      </c>
      <c r="D29" s="5" t="n">
        <f aca="false">Metrados!$E$35</f>
        <v>14.1</v>
      </c>
      <c r="E29" s="5" t="n">
        <f aca="false">ROUND(K29*$P$3,2)</f>
        <v>39.97</v>
      </c>
      <c r="F29" s="5" t="n">
        <f aca="false">D29*E29</f>
        <v>563.577</v>
      </c>
      <c r="H29" s="24" t="n">
        <v>10</v>
      </c>
      <c r="I29" s="28" t="n">
        <f aca="false">D29/H29</f>
        <v>1.41</v>
      </c>
      <c r="J29" s="4"/>
      <c r="K29" s="15" t="n">
        <v>35</v>
      </c>
    </row>
    <row r="30" customFormat="false" ht="15" hidden="false" customHeight="false" outlineLevel="0" collapsed="false">
      <c r="A30" s="4" t="s">
        <v>123</v>
      </c>
      <c r="B30" s="4" t="s">
        <v>351</v>
      </c>
      <c r="C30" s="4" t="s">
        <v>125</v>
      </c>
      <c r="D30" s="5" t="n">
        <f aca="false">Metrados!$E$36</f>
        <v>13.6</v>
      </c>
      <c r="E30" s="5" t="n">
        <f aca="false">ROUND(K30*$P$3,2)</f>
        <v>9.14</v>
      </c>
      <c r="F30" s="5" t="n">
        <f aca="false">D30*E30</f>
        <v>124.304</v>
      </c>
      <c r="H30" s="24" t="n">
        <v>60</v>
      </c>
      <c r="I30" s="28" t="n">
        <f aca="false">D30/H30</f>
        <v>0.226666666666667</v>
      </c>
      <c r="J30" s="4"/>
      <c r="K30" s="15" t="n">
        <v>8</v>
      </c>
    </row>
    <row r="31" customFormat="false" ht="15" hidden="false" customHeight="false" outlineLevel="0" collapsed="false">
      <c r="A31" s="4" t="s">
        <v>128</v>
      </c>
      <c r="B31" s="4" t="s">
        <v>352</v>
      </c>
      <c r="C31" s="4" t="s">
        <v>206</v>
      </c>
      <c r="D31" s="15" t="n">
        <v>14</v>
      </c>
      <c r="E31" s="5" t="n">
        <f aca="false">ROUND(K31*$P$3,2)</f>
        <v>45.68</v>
      </c>
      <c r="F31" s="5" t="n">
        <f aca="false">D31*E31</f>
        <v>639.52</v>
      </c>
      <c r="H31" s="24" t="n">
        <v>14</v>
      </c>
      <c r="I31" s="28" t="n">
        <f aca="false">D31/H31</f>
        <v>1</v>
      </c>
      <c r="J31" s="4" t="s">
        <v>353</v>
      </c>
      <c r="K31" s="15" t="n">
        <v>40</v>
      </c>
    </row>
    <row r="32" customFormat="false" ht="15" hidden="false" customHeight="false" outlineLevel="0" collapsed="false">
      <c r="A32" s="4" t="s">
        <v>354</v>
      </c>
      <c r="B32" s="4" t="s">
        <v>355</v>
      </c>
      <c r="C32" s="4" t="s">
        <v>130</v>
      </c>
      <c r="D32" s="15" t="n">
        <v>1</v>
      </c>
      <c r="E32" s="5" t="n">
        <f aca="false">ROUND(K32*$P$3,2)</f>
        <v>342.62</v>
      </c>
      <c r="F32" s="5" t="n">
        <f aca="false">D32*E32</f>
        <v>342.62</v>
      </c>
      <c r="H32" s="24" t="n">
        <v>1</v>
      </c>
      <c r="I32" s="28" t="n">
        <f aca="false">D32/H32</f>
        <v>1</v>
      </c>
      <c r="J32" s="4"/>
      <c r="K32" s="15" t="n">
        <v>300</v>
      </c>
    </row>
    <row r="33" customFormat="false" ht="15" hidden="false" customHeight="false" outlineLevel="0" collapsed="false">
      <c r="B33" s="4" t="s">
        <v>356</v>
      </c>
      <c r="C33" s="4" t="s">
        <v>130</v>
      </c>
      <c r="D33" s="25" t="n">
        <v>1</v>
      </c>
      <c r="E33" s="5" t="n">
        <f aca="false">ROUND(K33*$P$3,2)</f>
        <v>2855.17</v>
      </c>
      <c r="F33" s="5" t="n">
        <f aca="false">D33*E33</f>
        <v>2855.17</v>
      </c>
      <c r="K33" s="15" t="n">
        <v>2500</v>
      </c>
    </row>
    <row r="34" customFormat="false" ht="15" hidden="false" customHeight="false" outlineLevel="0" collapsed="false">
      <c r="E34" s="7" t="s">
        <v>25</v>
      </c>
      <c r="F34" s="8" t="n">
        <f aca="false">SUM(F5:F33)</f>
        <v>35998.381</v>
      </c>
      <c r="H34" s="7" t="s">
        <v>357</v>
      </c>
      <c r="I34" s="29" t="n">
        <f aca="false">SUM(I5:I32)</f>
        <v>83.0787619047619</v>
      </c>
    </row>
    <row r="35" customFormat="false" ht="15" hidden="false" customHeight="false" outlineLevel="0" collapsed="false">
      <c r="E35" s="30" t="s">
        <v>358</v>
      </c>
      <c r="F35" s="31" t="n">
        <f aca="false">ROUND(F34,-2)</f>
        <v>36000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359</v>
      </c>
    </row>
    <row r="2" customFormat="false" ht="15" hidden="false" customHeight="false" outlineLevel="0" collapsed="false">
      <c r="A2" s="2" t="s">
        <v>360</v>
      </c>
    </row>
    <row r="4" customFormat="false" ht="31.5" hidden="false" customHeight="true" outlineLevel="0" collapsed="false">
      <c r="A4" s="3" t="s">
        <v>2</v>
      </c>
      <c r="B4" s="3" t="s">
        <v>361</v>
      </c>
      <c r="C4" s="3" t="s">
        <v>362</v>
      </c>
    </row>
    <row r="5" customFormat="false" ht="15" hidden="false" customHeight="false" outlineLevel="0" collapsed="false">
      <c r="A5" s="4" t="s">
        <v>363</v>
      </c>
      <c r="B5" s="28" t="n">
        <f aca="false">'Mano de obra'!$I$34</f>
        <v>83.0787619047619</v>
      </c>
      <c r="C5" s="4" t="s">
        <v>364</v>
      </c>
    </row>
    <row r="6" customFormat="false" ht="15" hidden="false" customHeight="false" outlineLevel="0" collapsed="false">
      <c r="A6" s="4" t="s">
        <v>365</v>
      </c>
      <c r="B6" s="32" t="n">
        <v>1.35</v>
      </c>
      <c r="C6" s="4" t="s">
        <v>366</v>
      </c>
    </row>
    <row r="7" customFormat="false" ht="15" hidden="false" customHeight="false" outlineLevel="0" collapsed="false">
      <c r="A7" s="4" t="s">
        <v>367</v>
      </c>
      <c r="B7" s="33" t="n">
        <v>0.1</v>
      </c>
      <c r="C7" s="4" t="s">
        <v>368</v>
      </c>
    </row>
    <row r="8" customFormat="false" ht="15" hidden="false" customHeight="false" outlineLevel="0" collapsed="false">
      <c r="A8" s="4" t="s">
        <v>369</v>
      </c>
      <c r="B8" s="34" t="n">
        <f aca="false">ROUNDUP(B5/B6*(1+B7),0)</f>
        <v>68</v>
      </c>
      <c r="C8" s="4" t="s">
        <v>370</v>
      </c>
    </row>
    <row r="9" customFormat="false" ht="15" hidden="false" customHeight="false" outlineLevel="0" collapsed="false">
      <c r="A9" s="4" t="s">
        <v>371</v>
      </c>
      <c r="B9" s="28" t="n">
        <f aca="false">B8/6</f>
        <v>11.3333333333333</v>
      </c>
      <c r="C9" s="4" t="s">
        <v>372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30" t="s">
        <v>373</v>
      </c>
      <c r="C11" s="4"/>
    </row>
    <row r="12" customFormat="false" ht="15" hidden="false" customHeight="false" outlineLevel="0" collapsed="false">
      <c r="A12" s="4" t="s">
        <v>374</v>
      </c>
      <c r="B12" s="34" t="n">
        <f aca="false">B8*Precios!$D$33</f>
        <v>8840</v>
      </c>
      <c r="C12" s="4"/>
    </row>
    <row r="13" customFormat="false" ht="15" hidden="false" customHeight="false" outlineLevel="0" collapsed="false">
      <c r="A13" s="4" t="s">
        <v>375</v>
      </c>
      <c r="B13" s="34" t="n">
        <f aca="false">B8*Precios!$D$34</f>
        <v>5440</v>
      </c>
      <c r="C13" s="4"/>
    </row>
    <row r="14" customFormat="false" ht="15" hidden="false" customHeight="false" outlineLevel="0" collapsed="false">
      <c r="A14" s="4" t="s">
        <v>376</v>
      </c>
      <c r="B14" s="34" t="n">
        <f aca="false">6*Precios!$D$34</f>
        <v>480</v>
      </c>
      <c r="C14" s="4" t="s">
        <v>377</v>
      </c>
    </row>
    <row r="15" customFormat="false" ht="15" hidden="false" customHeight="false" outlineLevel="0" collapsed="false">
      <c r="A15" s="4" t="s">
        <v>378</v>
      </c>
      <c r="B15" s="34" t="n">
        <f aca="false">14*Precios!$D$31</f>
        <v>2100</v>
      </c>
      <c r="C15" s="4" t="s">
        <v>379</v>
      </c>
    </row>
    <row r="16" customFormat="false" ht="15" hidden="false" customHeight="false" outlineLevel="0" collapsed="false">
      <c r="A16" s="4" t="s">
        <v>216</v>
      </c>
      <c r="B16" s="34" t="n">
        <f aca="false">Precios!$D$32</f>
        <v>300</v>
      </c>
      <c r="C16" s="4" t="s">
        <v>380</v>
      </c>
    </row>
    <row r="17" customFormat="false" ht="15" hidden="false" customHeight="false" outlineLevel="0" collapsed="false">
      <c r="A17" s="4" t="s">
        <v>381</v>
      </c>
      <c r="B17" s="34" t="n">
        <f aca="false">Precios!$D$37</f>
        <v>1000</v>
      </c>
      <c r="C17" s="4" t="s">
        <v>382</v>
      </c>
    </row>
    <row r="18" customFormat="false" ht="15" hidden="false" customHeight="false" outlineLevel="0" collapsed="false">
      <c r="A18" s="4" t="s">
        <v>383</v>
      </c>
      <c r="B18" s="34" t="n">
        <f aca="false">Precios!$D$38</f>
        <v>400</v>
      </c>
      <c r="C18" s="4" t="s">
        <v>382</v>
      </c>
    </row>
    <row r="19" customFormat="false" ht="15" hidden="false" customHeight="false" outlineLevel="0" collapsed="false">
      <c r="A19" s="4" t="s">
        <v>384</v>
      </c>
      <c r="B19" s="34" t="n">
        <f aca="false">Precios!$D$40*Precios!$D$39</f>
        <v>3040</v>
      </c>
      <c r="C19" s="4" t="s">
        <v>385</v>
      </c>
    </row>
    <row r="20" customFormat="false" ht="15" hidden="false" customHeight="false" outlineLevel="0" collapsed="false">
      <c r="A20" s="4" t="s">
        <v>386</v>
      </c>
      <c r="B20" s="34" t="n">
        <f aca="false">Precios!$D$41</f>
        <v>900</v>
      </c>
      <c r="C20" s="4"/>
    </row>
    <row r="21" customFormat="false" ht="15" hidden="false" customHeight="false" outlineLevel="0" collapsed="false">
      <c r="A21" s="4" t="s">
        <v>387</v>
      </c>
      <c r="B21" s="35" t="n">
        <v>600</v>
      </c>
      <c r="C21" s="4" t="s">
        <v>388</v>
      </c>
    </row>
    <row r="22" customFormat="false" ht="15" hidden="false" customHeight="false" outlineLevel="0" collapsed="false">
      <c r="A22" s="4" t="s">
        <v>389</v>
      </c>
      <c r="B22" s="35" t="n">
        <v>400</v>
      </c>
      <c r="C22" s="4"/>
    </row>
    <row r="23" customFormat="false" ht="15" hidden="false" customHeight="false" outlineLevel="0" collapsed="false">
      <c r="A23" s="4" t="s">
        <v>390</v>
      </c>
      <c r="B23" s="35" t="n">
        <v>600</v>
      </c>
      <c r="C23" s="4" t="s">
        <v>391</v>
      </c>
    </row>
    <row r="24" customFormat="false" ht="15" hidden="false" customHeight="false" outlineLevel="0" collapsed="false">
      <c r="A24" s="7" t="s">
        <v>392</v>
      </c>
      <c r="B24" s="36" t="n">
        <f aca="false">SUM(B12:B23)</f>
        <v>24100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393</v>
      </c>
      <c r="B26" s="36" t="n">
        <f aca="false">'Mano de obra'!$F$35</f>
        <v>36000</v>
      </c>
      <c r="C26" s="4" t="s">
        <v>394</v>
      </c>
    </row>
    <row r="27" customFormat="false" ht="15" hidden="false" customHeight="false" outlineLevel="0" collapsed="false">
      <c r="A27" s="7" t="s">
        <v>395</v>
      </c>
      <c r="B27" s="36" t="n">
        <f aca="false">B26-B24</f>
        <v>11900</v>
      </c>
      <c r="C27" s="4" t="s">
        <v>396</v>
      </c>
    </row>
    <row r="28" customFormat="false" ht="15" hidden="false" customHeight="false" outlineLevel="0" collapsed="false">
      <c r="A28" s="4" t="s">
        <v>397</v>
      </c>
      <c r="B28" s="34" t="n">
        <f aca="false">(B17+B18+B19+B20)*Precios!$D$42</f>
        <v>2403</v>
      </c>
      <c r="C28" s="4" t="s">
        <v>398</v>
      </c>
    </row>
    <row r="29" customFormat="false" ht="15" hidden="false" customHeight="false" outlineLevel="0" collapsed="false">
      <c r="A29" s="7" t="s">
        <v>399</v>
      </c>
      <c r="B29" s="36" t="n">
        <f aca="false">B27+B28</f>
        <v>14303</v>
      </c>
      <c r="C29" s="4"/>
    </row>
    <row r="30" customFormat="false" ht="15" hidden="false" customHeight="false" outlineLevel="0" collapsed="false">
      <c r="A30" s="4" t="s">
        <v>400</v>
      </c>
      <c r="B30" s="34" t="n">
        <f aca="false">B29/B9</f>
        <v>1262.02941176471</v>
      </c>
      <c r="C30" s="4" t="s">
        <v>401</v>
      </c>
    </row>
    <row r="31" customFormat="false" ht="15" hidden="false" customHeight="false" outlineLevel="0" collapsed="false">
      <c r="A31" s="4" t="s">
        <v>402</v>
      </c>
      <c r="B31" s="6" t="n">
        <f aca="false">B29/B26</f>
        <v>0.397305555555556</v>
      </c>
      <c r="C31" s="4"/>
    </row>
    <row r="33" customFormat="false" ht="15" hidden="false" customHeight="false" outlineLevel="0" collapsed="false">
      <c r="A33" s="9" t="s">
        <v>403</v>
      </c>
    </row>
    <row r="34" customFormat="false" ht="31.5" hidden="false" customHeight="true" outlineLevel="0" collapsed="false">
      <c r="A34" s="3" t="s">
        <v>404</v>
      </c>
      <c r="B34" s="3" t="s">
        <v>405</v>
      </c>
      <c r="C34" s="3" t="s">
        <v>295</v>
      </c>
    </row>
    <row r="35" customFormat="false" ht="15" hidden="false" customHeight="false" outlineLevel="0" collapsed="false">
      <c r="A35" s="25" t="n">
        <v>50</v>
      </c>
      <c r="B35" s="34" t="n">
        <f aca="false">B29-(50-B8)*(Precios!$D$33+Precios!$D$34)</f>
        <v>18083</v>
      </c>
      <c r="C35" s="4"/>
    </row>
    <row r="36" customFormat="false" ht="15" hidden="false" customHeight="false" outlineLevel="0" collapsed="false">
      <c r="A36" s="25" t="n">
        <v>60</v>
      </c>
      <c r="B36" s="34" t="n">
        <f aca="false">B29-(60-B8)*(Precios!$D$33+Precios!$D$34)</f>
        <v>15983</v>
      </c>
      <c r="C36" s="4"/>
    </row>
    <row r="37" customFormat="false" ht="15" hidden="false" customHeight="false" outlineLevel="0" collapsed="false">
      <c r="A37" s="25" t="n">
        <v>70</v>
      </c>
      <c r="B37" s="34" t="n">
        <f aca="false">B29-(70-B8)*(Precios!$D$33+Precios!$D$34)</f>
        <v>13883</v>
      </c>
      <c r="C37" s="4"/>
    </row>
    <row r="38" customFormat="false" ht="15" hidden="false" customHeight="false" outlineLevel="0" collapsed="false">
      <c r="A38" s="25" t="n">
        <v>80</v>
      </c>
      <c r="B38" s="34" t="n">
        <f aca="false">B29-(80-B8)*(Precios!$D$33+Precios!$D$34)</f>
        <v>11783</v>
      </c>
      <c r="C38" s="4"/>
    </row>
    <row r="39" customFormat="false" ht="15" hidden="false" customHeight="false" outlineLevel="0" collapsed="false">
      <c r="A39" s="25" t="n">
        <v>90</v>
      </c>
      <c r="B39" s="34" t="n">
        <f aca="false">B29-(90-B8)*(Precios!$D$33+Precios!$D$34)</f>
        <v>9683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2026-10-14T07:24:34Z</dcterms:created>
  <dc:creator>openpyxl</dc:creator>
  <dc:description/>
  <dc:language>en-US</dc:language>
  <cp:lastModifiedBy/>
  <dcterms:modified xsi:type="dcterms:W3CDTF">2026-10-14T07:24:34Z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