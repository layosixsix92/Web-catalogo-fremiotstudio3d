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tización" sheetId="1" state="visible" r:id="rId3"/>
    <sheet name="Metrados" sheetId="2" state="visible" r:id="rId4"/>
    <sheet name="Precios" sheetId="3" state="visible" r:id="rId5"/>
    <sheet name="Materiales" sheetId="4" state="visible" r:id="rId6"/>
    <sheet name="Equipos y servicios" sheetId="5" state="visible" r:id="rId7"/>
    <sheet name="Mano de obra" sheetId="6" state="visible" r:id="rId8"/>
    <sheet name="INT Mi costo y ganancia" sheetId="7" state="visible" r:id="rId9"/>
    <sheet name="INT Opción A acero camp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<sst xmlns="http://schemas.openxmlformats.org/spreadsheetml/2006/main" count="658" uniqueCount="465">
  <si>
    <t xml:space="preserve">COTIZACIÓN ETAPA 1 - VIVIENDA UNIFAMILIAR, CHORRILLOS</t>
  </si>
  <si>
    <t xml:space="preserve">Cimentación, columnas 1er piso hasta +2.30, cerco delantero y muros del perímetro (E-10). Precios Lima, octubre 2026.</t>
  </si>
  <si>
    <t xml:space="preserve">Concepto</t>
  </si>
  <si>
    <t xml:space="preserve">Monto (S/)</t>
  </si>
  <si>
    <t xml:space="preserve">%</t>
  </si>
  <si>
    <t xml:space="preserve">Quién paga</t>
  </si>
  <si>
    <t xml:space="preserve">A. Materiales</t>
  </si>
  <si>
    <t xml:space="preserve">Cliente - compra directa con boleta/factura</t>
  </si>
  <si>
    <t xml:space="preserve">B. Equipos y servicios (volquetes, apisonador, probetas, agua, flete)</t>
  </si>
  <si>
    <t xml:space="preserve">Cliente</t>
  </si>
  <si>
    <t xml:space="preserve">C. Mano de obra, retroexcavadora y dirección técnica (por un tanto)</t>
  </si>
  <si>
    <t xml:space="preserve">Pago por etapas al contratista</t>
  </si>
  <si>
    <t xml:space="preserve">SUBTOTAL</t>
  </si>
  <si>
    <t xml:space="preserve">D. Imprevistos 5% (sobre A + B)</t>
  </si>
  <si>
    <t xml:space="preserve">Variaciones de precio y de metrado hasta el EMS</t>
  </si>
  <si>
    <t xml:space="preserve">TOTAL ETAPA 1</t>
  </si>
  <si>
    <t xml:space="preserve">Adicional: calzaduras (solo si se necesitan, se cotizan aparte)</t>
  </si>
  <si>
    <t xml:space="preserve">por definir</t>
  </si>
  <si>
    <t xml:space="preserve">FORMA DE PAGO DE LA MANO DE OBRA (por etapa terminada y revisada)</t>
  </si>
  <si>
    <t xml:space="preserve">Etapa</t>
  </si>
  <si>
    <t xml:space="preserve">1. Limpieza, trazo, excavación con máquina, perfilado y eliminación</t>
  </si>
  <si>
    <t xml:space="preserve">2. Solados, acero, encofrado y vaciado de zapatas, VE y VC</t>
  </si>
  <si>
    <t xml:space="preserve">3. Relleno compactado y sobrecimientos</t>
  </si>
  <si>
    <t xml:space="preserve">4. Columnas del 1er piso hasta +2.30</t>
  </si>
  <si>
    <t xml:space="preserve">5. Cerco delantero, muros del perímetro, juntas y limpieza final</t>
  </si>
  <si>
    <t xml:space="preserve">TOTAL</t>
  </si>
  <si>
    <t xml:space="preserve">INCLUYE: todo lo del cuadro E-10 con metrados verificados (hoja Metrados).</t>
  </si>
  <si>
    <t xml:space="preserve">NO INCLUYE: vigas y techo del 1er piso, nudos sobre +2.30, tabiques interiores, escalera, falso piso, tarrajeos, instalaciones, fachada existente, licencia, EMS, calzaduras.</t>
  </si>
  <si>
    <t xml:space="preserve">Materiales a precio de tienda con IGV; el premezclado y la bomba deben confirmarse con 2-3 concreteras. Validez: 15 días.</t>
  </si>
  <si>
    <t xml:space="preserve">VE de -1.50 a -0.80 conectadas a las zapatas. Sistema mixto: linderos A y C de albañilería confinada (muro endentado de KK portante antes del vaciado de columnas).</t>
  </si>
  <si>
    <t xml:space="preserve">ETAPA 1 - METRADOS VERIFICADOS (E-10 vs. revisión)</t>
  </si>
  <si>
    <t xml:space="preserve">Revisión del cuadro E-10 contra E-01, E-02/E-03, E-04. Filas en naranja = corregidas. VE de -1.50 a -0.80 conectadas a las zapatas (tecnopor debajo entre zapatas). Sistema mixto: albañilería confinada en linderos A y C.</t>
  </si>
  <si>
    <t xml:space="preserve">Ítem</t>
  </si>
  <si>
    <t xml:space="preserve">Partida</t>
  </si>
  <si>
    <t xml:space="preserve">Und</t>
  </si>
  <si>
    <t xml:space="preserve">Metrado E-10</t>
  </si>
  <si>
    <t xml:space="preserve">Metrado verificado</t>
  </si>
  <si>
    <t xml:space="preserve">Diferencia</t>
  </si>
  <si>
    <t xml:space="preserve">Sustento de la verificación</t>
  </si>
  <si>
    <t xml:space="preserve">01  OBRAS PRELIMINARES</t>
  </si>
  <si>
    <t xml:space="preserve">01.01</t>
  </si>
  <si>
    <t xml:space="preserve">Limpieza de terreno</t>
  </si>
  <si>
    <t xml:space="preserve">m²</t>
  </si>
  <si>
    <t xml:space="preserve">Lote 7.90 × 21.55</t>
  </si>
  <si>
    <t xml:space="preserve">01.02</t>
  </si>
  <si>
    <t xml:space="preserve">Trazo, nivelación y replanteo</t>
  </si>
  <si>
    <t xml:space="preserve">02  MOVIMIENTO DE TIERRAS</t>
  </si>
  <si>
    <t xml:space="preserve">02.01</t>
  </si>
  <si>
    <t xml:space="preserve">Excavación zapatas vivienda (retroexcavadora)</t>
  </si>
  <si>
    <t xml:space="preserve">m³</t>
  </si>
  <si>
    <t xml:space="preserve">15 zapatas + 0.10 de sobreancho × 1.60 (fondo -1.50 + solado)</t>
  </si>
  <si>
    <t xml:space="preserve">02.02</t>
  </si>
  <si>
    <t xml:space="preserve">Excavación zanjas VE / VC (retroexcavadora)</t>
  </si>
  <si>
    <t xml:space="preserve">VE ahora con fondo -1.50 + tecnopor: 0.70×1.60×24.53 = 27.5; VC 0.55×1.50×6.56 = 5.4. (El modelo, descontando el sobreancho de pozos, da 28.3)</t>
  </si>
  <si>
    <t xml:space="preserve">02.03</t>
  </si>
  <si>
    <t xml:space="preserve">Excavación manual cerco (ZC, cimiento corrido, VA)</t>
  </si>
  <si>
    <t xml:space="preserve">E-10 omite la VA del cerco. ZC 5.04 + cimiento 2.97 + VA 5.31 (de tu Excel, E-09)</t>
  </si>
  <si>
    <t xml:space="preserve">02.04</t>
  </si>
  <si>
    <t xml:space="preserve">Relleno compactado con material propio hasta -0.20</t>
  </si>
  <si>
    <t xml:space="preserve">Vivienda: excavación bajo -0.20 = 104.9 - enterrado 41.7 (solado, zapatas, VE, VC, tecnopor, columnas, sobrecimiento) = 63.2; cerco 7.3</t>
  </si>
  <si>
    <t xml:space="preserve">02.05</t>
  </si>
  <si>
    <t xml:space="preserve">Eliminación de material excedente (esponj. 25%)</t>
  </si>
  <si>
    <t xml:space="preserve">(133.3 - 70.5) × 1.25</t>
  </si>
  <si>
    <t xml:space="preserve">03  CONCRETO SIMPLE</t>
  </si>
  <si>
    <t xml:space="preserve">03.01</t>
  </si>
  <si>
    <t xml:space="preserve">Solado C:H 1:12 (0.10 vivienda / 0.05 cerco)</t>
  </si>
  <si>
    <t xml:space="preserve">46.79 + 3.20</t>
  </si>
  <si>
    <t xml:space="preserve">03.02</t>
  </si>
  <si>
    <t xml:space="preserve">Cimiento corrido ciclópeo 1:10 + 30% PG (cerco)</t>
  </si>
  <si>
    <t xml:space="preserve">9.28 × 0.40 × 0.60</t>
  </si>
  <si>
    <t xml:space="preserve">03.03</t>
  </si>
  <si>
    <t xml:space="preserve">Sobrecimiento 1:8 + 25% PM 0.15 de ancho (perímetro + cerco)</t>
  </si>
  <si>
    <t xml:space="preserve">Arranca desde la viga: sobre VE (top -0.80) h = 1.00 → 20.98 m; sobre VC de ejes A y C (top -1.10 / zapata -1.00) h 1.20-1.30 → 10.72 m; cerco h = 0.40 → 11.78 m (medido en el modelo)</t>
  </si>
  <si>
    <t xml:space="preserve">03.04</t>
  </si>
  <si>
    <t xml:space="preserve">Encofrado de sobrecimiento (2 caras)</t>
  </si>
  <si>
    <t xml:space="preserve">2 × (1.00 × 20.98 + 1.25 × 10.72 + 0.40 × 11.78)</t>
  </si>
  <si>
    <t xml:space="preserve">04  CONCRETO ARMADO f'c 210</t>
  </si>
  <si>
    <t xml:space="preserve">04.01</t>
  </si>
  <si>
    <t xml:space="preserve">Zapatas Z-1 a Z-5 (vaciado contra terreno)</t>
  </si>
  <si>
    <t xml:space="preserve">Cuadro E-01. OJO: la excavación lleva 0.10 de sobreancho; si se vacía contra terreno, ese hueco se llena de concreto (+3.8 m³). Perfilar a la medida exacta los 0.50 inferiores</t>
  </si>
  <si>
    <t xml:space="preserve">04.02</t>
  </si>
  <si>
    <t xml:space="preserve">Vigas de equilibrio VE 0.30×0.70 (de -1.50 a -0.80)</t>
  </si>
  <si>
    <t xml:space="preserve">Entre zapatas 0.30×0.70×24.53 = 5.15 + sobre zapata solo lo que sobresale (-1.00 a -0.80) 0.30×0.20×30.95 = 1.86</t>
  </si>
  <si>
    <t xml:space="preserve">04.03</t>
  </si>
  <si>
    <t xml:space="preserve">Encofrado VE (2 caras)</t>
  </si>
  <si>
    <t xml:space="preserve">2 × 0.70 × 24.53 + 2 × 0.20 × 30.95</t>
  </si>
  <si>
    <t xml:space="preserve">04.04</t>
  </si>
  <si>
    <t xml:space="preserve">Tecnopor e = 0.10 bajo VE (solo entre zapatas, de -1.60 a -1.50)</t>
  </si>
  <si>
    <t xml:space="preserve">0.30 × 24.53</t>
  </si>
  <si>
    <t xml:space="preserve">04.05</t>
  </si>
  <si>
    <t xml:space="preserve">Vigas de conexión VC 0.25×0.40</t>
  </si>
  <si>
    <t xml:space="preserve">0.10 × 6.56 (sobre zapata queda dentro de la zapata)</t>
  </si>
  <si>
    <t xml:space="preserve">04.05b</t>
  </si>
  <si>
    <t xml:space="preserve">Encofrado VC</t>
  </si>
  <si>
    <t xml:space="preserve">2 × 0.40 × 6.56</t>
  </si>
  <si>
    <t xml:space="preserve">04.06</t>
  </si>
  <si>
    <t xml:space="preserve">Columnas 1er piso (-1.00 a +2.30)</t>
  </si>
  <si>
    <t xml:space="preserve">2.49 m² × 3.30 = 8.22 + 0.10 de concreto que entra en los dientes del muro</t>
  </si>
  <si>
    <t xml:space="preserve">04.07</t>
  </si>
  <si>
    <t xml:space="preserve">Encofrado columnas 1er piso</t>
  </si>
  <si>
    <t xml:space="preserve">25.3 m × 3.30 = 83.5 - 16 caras contra muro endentado (0.13 × 2.10) = 4.4</t>
  </si>
  <si>
    <t xml:space="preserve">04.08</t>
  </si>
  <si>
    <t xml:space="preserve">Cerco: ZC, VA, CA, solera</t>
  </si>
  <si>
    <t xml:space="preserve">E-09 (no verificado: plano no recibido)</t>
  </si>
  <si>
    <t xml:space="preserve">04.08b</t>
  </si>
  <si>
    <t xml:space="preserve">Encofrado cerco</t>
  </si>
  <si>
    <t xml:space="preserve">E-09 (no verificado)</t>
  </si>
  <si>
    <t xml:space="preserve">04.09</t>
  </si>
  <si>
    <t xml:space="preserve">Acero fy 4200 habilitado y colocado</t>
  </si>
  <si>
    <t xml:space="preserve">kg</t>
  </si>
  <si>
    <t xml:space="preserve">E-10 pone VE 956 y VC 153 kg. Cuadro de vigas E-02/E-03: VE 1,815 y VC 282 kg (barras continuas con ganchos de 0.45 en columnas)</t>
  </si>
  <si>
    <t xml:space="preserve">04.10</t>
  </si>
  <si>
    <t xml:space="preserve">Anclaje con epóxico Ø3/8" en columnas existentes</t>
  </si>
  <si>
    <t xml:space="preserve">und</t>
  </si>
  <si>
    <t xml:space="preserve">05  ALBAÑILERÍA KK 18 huecos de soga, mortero 1:4</t>
  </si>
  <si>
    <t xml:space="preserve">05.01</t>
  </si>
  <si>
    <t xml:space="preserve">Muro cerco delantero</t>
  </si>
  <si>
    <t xml:space="preserve">05.02a</t>
  </si>
  <si>
    <t xml:space="preserve">Muro portante linderos A y C - KK PORTANTE endentado (albañilería confinada)</t>
  </si>
  <si>
    <t xml:space="preserve">2 × 12.50 × 2.10 (de +0.20 a +2.30). Se levanta ANTES de vaciar las columnas</t>
  </si>
  <si>
    <t xml:space="preserve">05.02b</t>
  </si>
  <si>
    <t xml:space="preserve">Muro fondo eje 5 - tabique KK 18 huecos con junta</t>
  </si>
  <si>
    <t xml:space="preserve">6.70 × 2.10</t>
  </si>
  <si>
    <t xml:space="preserve">05.03</t>
  </si>
  <si>
    <t xml:space="preserve">Junta con tecnopor 1" (solo fondo y encuentro cerco-vivienda)</t>
  </si>
  <si>
    <t xml:space="preserve">ml</t>
  </si>
  <si>
    <t xml:space="preserve">Linderos ya no llevan junta (muro endentado). Fondo 4 × 2.10 + cerco-vivienda 2 × 2.60</t>
  </si>
  <si>
    <t xml:space="preserve">06  VARIOS</t>
  </si>
  <si>
    <t xml:space="preserve">06.01</t>
  </si>
  <si>
    <t xml:space="preserve">Curado de concreto</t>
  </si>
  <si>
    <t xml:space="preserve">glb</t>
  </si>
  <si>
    <t xml:space="preserve">06.02</t>
  </si>
  <si>
    <t xml:space="preserve">Ensayo de probetas</t>
  </si>
  <si>
    <t xml:space="preserve">juego</t>
  </si>
  <si>
    <t xml:space="preserve">CAMBIOS DE OBRA: VE de -1.50 a -0.80 conectadas a las zapatas (tecnopor 0.10 bajo VE entre zapatas, excavación a -1.60).</t>
  </si>
  <si>
    <t xml:space="preserve">Sistema mixto: linderos A y C de albañilería confinada (KK portante con ≤30% vacíos, E.070), muro endentado y luego vaciado de columnas.</t>
  </si>
  <si>
    <t xml:space="preserve">Acero de columnas 1er piso: 2,646 kg (E-10) verificado (barras Ø5/8" de 6.00 m de arranque + estribos Ø1/2" 1,342 kg + montaje 3/8" 38 kg).</t>
  </si>
  <si>
    <t xml:space="preserve">Diferencias menores a favor (no se cambian): zanjas de VE medidas sin descontar el sobreancho de los pozos (~2.5 m³ de más); encofrado de columnas sin descontar las caras donde llega la VE (~6.7 m²).</t>
  </si>
  <si>
    <t xml:space="preserve">PRECIOS DE MATERIALES Y SERVICIOS - Lima, octubre 2026 (con IGV)</t>
  </si>
  <si>
    <t xml:space="preserve">AZUL = editable. Fuente principal: tu Excel (Sodimac / mercado oct-2026). Cambia aquí y todo se recalcula.</t>
  </si>
  <si>
    <t xml:space="preserve">Código</t>
  </si>
  <si>
    <t xml:space="preserve">Insumo</t>
  </si>
  <si>
    <t xml:space="preserve">Precio (S/)</t>
  </si>
  <si>
    <t xml:space="preserve">Fuente</t>
  </si>
  <si>
    <t xml:space="preserve">prem</t>
  </si>
  <si>
    <t xml:space="preserve">Concreto premezclado f'c 210</t>
  </si>
  <si>
    <t xml:space="preserve">Mercado Lima S/ 260-320 (tu Excel 300). Se usa 320 por seguridad</t>
  </si>
  <si>
    <t xml:space="preserve">bomba</t>
  </si>
  <si>
    <t xml:space="preserve">Bomba de concreto</t>
  </si>
  <si>
    <t xml:space="preserve">S/ 35-40/m³, mínimo 20 m³ por vaciado</t>
  </si>
  <si>
    <t xml:space="preserve">cem</t>
  </si>
  <si>
    <t xml:space="preserve">Cemento GU / Tipo I 42.5 kg</t>
  </si>
  <si>
    <t xml:space="preserve">bolsa</t>
  </si>
  <si>
    <t xml:space="preserve">Sodimac oct-2026</t>
  </si>
  <si>
    <t xml:space="preserve">are</t>
  </si>
  <si>
    <t xml:space="preserve">Arena gruesa</t>
  </si>
  <si>
    <t xml:space="preserve">Tu Excel</t>
  </si>
  <si>
    <t xml:space="preserve">pie</t>
  </si>
  <si>
    <t xml:space="preserve">Piedra chancada 1/2"</t>
  </si>
  <si>
    <t xml:space="preserve">hor</t>
  </si>
  <si>
    <t xml:space="preserve">Hormigón</t>
  </si>
  <si>
    <t xml:space="preserve">pg</t>
  </si>
  <si>
    <t xml:space="preserve">Piedra grande 6"</t>
  </si>
  <si>
    <t xml:space="preserve">pm</t>
  </si>
  <si>
    <t xml:space="preserve">Piedra mediana 4"</t>
  </si>
  <si>
    <t xml:space="preserve">f34</t>
  </si>
  <si>
    <t xml:space="preserve">Varilla Ø3/4" × 9 m</t>
  </si>
  <si>
    <t xml:space="preserve">varilla</t>
  </si>
  <si>
    <t xml:space="preserve">f58</t>
  </si>
  <si>
    <t xml:space="preserve">Varilla Ø5/8" × 9 m</t>
  </si>
  <si>
    <t xml:space="preserve">f12</t>
  </si>
  <si>
    <t xml:space="preserve">Varilla Ø1/2" × 9 m</t>
  </si>
  <si>
    <t xml:space="preserve">f38</t>
  </si>
  <si>
    <t xml:space="preserve">Varilla Ø3/8" × 9 m</t>
  </si>
  <si>
    <t xml:space="preserve">f6</t>
  </si>
  <si>
    <t xml:space="preserve">Varilla 6 mm × 9 m</t>
  </si>
  <si>
    <t xml:space="preserve">al16</t>
  </si>
  <si>
    <t xml:space="preserve">Alambre N°16 rollo 100 kg</t>
  </si>
  <si>
    <t xml:space="preserve">rollo</t>
  </si>
  <si>
    <t xml:space="preserve">al8</t>
  </si>
  <si>
    <t xml:space="preserve">Alambre N°8</t>
  </si>
  <si>
    <t xml:space="preserve">Referencial</t>
  </si>
  <si>
    <t xml:space="preserve">clavo</t>
  </si>
  <si>
    <t xml:space="preserve">Clavos 2"-4"</t>
  </si>
  <si>
    <t xml:space="preserve">kk</t>
  </si>
  <si>
    <t xml:space="preserve">Ladrillo KK 18 huecos</t>
  </si>
  <si>
    <t xml:space="preserve">Sodimac</t>
  </si>
  <si>
    <t xml:space="preserve">kkp</t>
  </si>
  <si>
    <t xml:space="preserve">Ladrillo KK PORTANTE (≤30% vacíos, tipo IV/V) 9×13×24</t>
  </si>
  <si>
    <t xml:space="preserve">Tu Excel: S/ 1.50-2.20 (cotizar, pedir ficha técnica)</t>
  </si>
  <si>
    <t xml:space="preserve">t4</t>
  </si>
  <si>
    <t xml:space="preserve">Tecnopor 4" plancha 1.20×2.40</t>
  </si>
  <si>
    <t xml:space="preserve">plancha</t>
  </si>
  <si>
    <t xml:space="preserve">t1</t>
  </si>
  <si>
    <t xml:space="preserve">Tecnopor 1" plancha 1.20×2.40</t>
  </si>
  <si>
    <t xml:space="preserve">epox</t>
  </si>
  <si>
    <t xml:space="preserve">Epóxico para anclajes (cartucho)</t>
  </si>
  <si>
    <t xml:space="preserve">asf</t>
  </si>
  <si>
    <t xml:space="preserve">Impermeabilizante asfáltico</t>
  </si>
  <si>
    <t xml:space="preserve">gal</t>
  </si>
  <si>
    <t xml:space="preserve">volq</t>
  </si>
  <si>
    <t xml:space="preserve">Volquete 18 m³ eliminación</t>
  </si>
  <si>
    <t xml:space="preserve">viaje</t>
  </si>
  <si>
    <t xml:space="preserve">Tu Excel (C&amp;M Chamana)</t>
  </si>
  <si>
    <t xml:space="preserve">apis</t>
  </si>
  <si>
    <t xml:space="preserve">Apisonador / plancha compactadora</t>
  </si>
  <si>
    <t xml:space="preserve">día</t>
  </si>
  <si>
    <t xml:space="preserve">prob</t>
  </si>
  <si>
    <t xml:space="preserve">Ensayo de probetas (juego de 3)</t>
  </si>
  <si>
    <t xml:space="preserve">gas</t>
  </si>
  <si>
    <t xml:space="preserve">Gasolina</t>
  </si>
  <si>
    <t xml:space="preserve">retro</t>
  </si>
  <si>
    <t xml:space="preserve">Retroexcavadora con operador (mín. 5 h)</t>
  </si>
  <si>
    <t xml:space="preserve">h</t>
  </si>
  <si>
    <t xml:space="preserve">Tu dato</t>
  </si>
  <si>
    <t xml:space="preserve">trasl</t>
  </si>
  <si>
    <t xml:space="preserve">Traslado de retroexcavadora</t>
  </si>
  <si>
    <t xml:space="preserve">Supuesto (confirmar)</t>
  </si>
  <si>
    <t xml:space="preserve">op</t>
  </si>
  <si>
    <t xml:space="preserve">Operario (jornal informal)</t>
  </si>
  <si>
    <t xml:space="preserve">Tu Excel (ObraMaestra S/ 120-160)</t>
  </si>
  <si>
    <t xml:space="preserve">ay</t>
  </si>
  <si>
    <t xml:space="preserve">Ayudante / peón (jornal informal)</t>
  </si>
  <si>
    <t xml:space="preserve">Tu Excel (S/ 70-90)</t>
  </si>
  <si>
    <t xml:space="preserve">mezc</t>
  </si>
  <si>
    <t xml:space="preserve">Alquiler mezcladora (trompo)</t>
  </si>
  <si>
    <t xml:space="preserve">vibr</t>
  </si>
  <si>
    <t xml:space="preserve">Alquiler vibrador</t>
  </si>
  <si>
    <t xml:space="preserve">trompo</t>
  </si>
  <si>
    <t xml:space="preserve">Trompo (mezcladora) - compra</t>
  </si>
  <si>
    <t xml:space="preserve">vibc</t>
  </si>
  <si>
    <t xml:space="preserve">Vibradora de concreto - compra</t>
  </si>
  <si>
    <t xml:space="preserve">fen</t>
  </si>
  <si>
    <t xml:space="preserve">Triplay fenólico film 18 mm 1.22×2.44</t>
  </si>
  <si>
    <t xml:space="preserve">Sodimac: S/ 85-107 por 10 o más unidades</t>
  </si>
  <si>
    <t xml:space="preserve">nfen</t>
  </si>
  <si>
    <t xml:space="preserve">Cantidad de planchas fenólicas</t>
  </si>
  <si>
    <t xml:space="preserve">83 m² de VE+VC a la vez, 3 piezas de 0.70×1.22 por plancha</t>
  </si>
  <si>
    <t xml:space="preserve">list</t>
  </si>
  <si>
    <t xml:space="preserve">Listones, estacas, tensores y tirafondos para encofrado</t>
  </si>
  <si>
    <t xml:space="preserve">Supuesto: ~60 listones 2"x3"x10' + accesorios</t>
  </si>
  <si>
    <t xml:space="preserve">resid</t>
  </si>
  <si>
    <t xml:space="preserve">Valor que te queda en equipos y encofrado al terminar</t>
  </si>
  <si>
    <t xml:space="preserve">Trompo/vibradora ~75%, fenólico tras 4-5 usos ~30%</t>
  </si>
  <si>
    <t xml:space="preserve">MATERIALES - ETAPA 1 (cantidades por despiece real de varillas)</t>
  </si>
  <si>
    <t xml:space="preserve">Concreto estructural con premezclado + bomba. Mezclas menores (solado, ciclópeo, sobrecimiento, solera, mortero) en obra.</t>
  </si>
  <si>
    <t xml:space="preserve">N°</t>
  </si>
  <si>
    <t xml:space="preserve">Material</t>
  </si>
  <si>
    <t xml:space="preserve">Cantidad</t>
  </si>
  <si>
    <t xml:space="preserve">P.U. (S/)</t>
  </si>
  <si>
    <t xml:space="preserve">Parcial (S/)</t>
  </si>
  <si>
    <t xml:space="preserve">Cómo se calculó</t>
  </si>
  <si>
    <t xml:space="preserve">A. CONCRETO PREMEZCLADO</t>
  </si>
  <si>
    <t xml:space="preserve">Premezclado f'c 210 - vaciado 1: zapatas + VE + VC + ZC + VA cerco</t>
  </si>
  <si>
    <t xml:space="preserve">(23.39 + 7.01 + 0.66 + 1.36 + 1.18) × 1.04 = 34.9 + 2.0 por sobreexcavación de la retro → 37.0</t>
  </si>
  <si>
    <t xml:space="preserve">Bomba - vaciado 1</t>
  </si>
  <si>
    <t xml:space="preserve">Premezclado f'c 210 - vaciado 2: columnas 1er piso + CA cerco</t>
  </si>
  <si>
    <t xml:space="preserve">(8.22 + 0.60) × 1.04 = 9.2 → pedir 9.5</t>
  </si>
  <si>
    <t xml:space="preserve">Bomba - vaciado 2 (cobra mínimo 20 m³)</t>
  </si>
  <si>
    <t xml:space="preserve">Columnas de 3.30 m: el mixer solo no llega</t>
  </si>
  <si>
    <t xml:space="preserve">B. MEZCLAS EN OBRA</t>
  </si>
  <si>
    <t xml:space="preserve">Cemento (solado, ciclópeo, sobrecimiento, solera, mortero)</t>
  </si>
  <si>
    <t xml:space="preserve">Solado 17 + ciclópeo 7 + sobrecim. 23 + solera 4 + mortero 22</t>
  </si>
  <si>
    <t xml:space="preserve">Hormigón (solado, ciclópeo, sobrecimiento)</t>
  </si>
  <si>
    <t xml:space="preserve">5.4 + 1.9 + 5.1</t>
  </si>
  <si>
    <t xml:space="preserve">Arena gruesa (solera + mortero de muros)</t>
  </si>
  <si>
    <t xml:space="preserve">0.2 + 96.6 m² × 0.028</t>
  </si>
  <si>
    <t xml:space="preserve">Piedra chancada 1/2" (solera)</t>
  </si>
  <si>
    <t xml:space="preserve">Piedra grande 6" (ciclópeo 30%)</t>
  </si>
  <si>
    <t xml:space="preserve">Piedra mediana 4" (sobrecimiento 25%)</t>
  </si>
  <si>
    <t xml:space="preserve">C. ACERO (por despiece de barras de 9 m, no por kg)</t>
  </si>
  <si>
    <t xml:space="preserve">VE en ejes 1-5 continua (8.8 m = 1 varilla por barra): 32; VE en ejes A, B, C: 40</t>
  </si>
  <si>
    <t xml:space="preserve">Columnas 136 (arranque 6.00, sobra 3.00 → se usa en zapatas) + zapatas 29 + VE 22 + VC 18 + cerco 2</t>
  </si>
  <si>
    <t xml:space="preserve">Estribos columnas 1,342 kg + cerco 177 kg, +5%</t>
  </si>
  <si>
    <t xml:space="preserve">Estribos VE 381 und (4 por varilla) 96 + VC 86 und 13 + montaje 9 + cerco 16</t>
  </si>
  <si>
    <t xml:space="preserve">Cerco 27 kg</t>
  </si>
  <si>
    <t xml:space="preserve">Alambre N°16 (3% del acero)</t>
  </si>
  <si>
    <t xml:space="preserve">176 kg</t>
  </si>
  <si>
    <t xml:space="preserve">D. ENCOFRADO Y OTROS</t>
  </si>
  <si>
    <t xml:space="preserve">Alambre N°8 (encofrado)</t>
  </si>
  <si>
    <t xml:space="preserve">0.25 kg/m² × 231 m²</t>
  </si>
  <si>
    <t xml:space="preserve">Clavos</t>
  </si>
  <si>
    <t xml:space="preserve">0.15 kg/m² × 231 m²</t>
  </si>
  <si>
    <t xml:space="preserve">Ladrillo KK PORTANTE - linderos A y C (+5%)</t>
  </si>
  <si>
    <t xml:space="preserve">52.5 m² × 39 × 1.05. Obligatorio en muro portante zona 4 (E.070)</t>
  </si>
  <si>
    <t xml:space="preserve">Ladrillo KK 18 huecos - fondo y cerco (+5%)</t>
  </si>
  <si>
    <t xml:space="preserve">(14.1 + 30.0) m² × 39 × 1.05</t>
  </si>
  <si>
    <t xml:space="preserve">Tecnopor 4" bajo VE</t>
  </si>
  <si>
    <t xml:space="preserve">7.4 m² ÷ 2.88</t>
  </si>
  <si>
    <t xml:space="preserve">Tecnopor 1" para juntas</t>
  </si>
  <si>
    <t xml:space="preserve">13.6 ml × 0.13 ≈ 1.8 m² + cortes</t>
  </si>
  <si>
    <t xml:space="preserve">Epóxico para anclajes</t>
  </si>
  <si>
    <t xml:space="preserve">8 anclajes</t>
  </si>
  <si>
    <t xml:space="preserve">Impermeabilizante asfáltico (sobrecimiento)</t>
  </si>
  <si>
    <t xml:space="preserve">EQUIPOS Y SERVICIOS QUE PAGA EL CLIENTE</t>
  </si>
  <si>
    <t xml:space="preserve">Nota</t>
  </si>
  <si>
    <t xml:space="preserve">Eliminación de desmonte - volquete 18 m³</t>
  </si>
  <si>
    <t xml:space="preserve">78.5 m³ suelto ÷ 18</t>
  </si>
  <si>
    <t xml:space="preserve">Alquiler de apisonador para relleno</t>
  </si>
  <si>
    <t xml:space="preserve">70.5 m³ ÷ 8 m³/día</t>
  </si>
  <si>
    <t xml:space="preserve">1 por vaciado</t>
  </si>
  <si>
    <t xml:space="preserve">Combustible apisonador, trompo y vibrador</t>
  </si>
  <si>
    <t xml:space="preserve">Agua para obra</t>
  </si>
  <si>
    <t xml:space="preserve">Flete de fierro y agregados</t>
  </si>
  <si>
    <t xml:space="preserve">Negociar flete gratis en pedido grande</t>
  </si>
  <si>
    <t xml:space="preserve">MANO DE OBRA "POR UN TANTO" - PRECIO AL CLIENTE</t>
  </si>
  <si>
    <t xml:space="preserve">Precio por partida (destajo Lima). La excavación incluye la retroexcavadora y el carguío. Columnas H-J: uso interno (rendimiento de tu cuadrilla operario + ayudante).</t>
  </si>
  <si>
    <t xml:space="preserve">Precio objetivo MO (S/)</t>
  </si>
  <si>
    <t xml:space="preserve">Factor</t>
  </si>
  <si>
    <t xml:space="preserve">Metrado</t>
  </si>
  <si>
    <t xml:space="preserve">P.U. MO (S/)</t>
  </si>
  <si>
    <t xml:space="preserve">Rend. cuadrilla (und/día)</t>
  </si>
  <si>
    <t xml:space="preserve">Días-cuadrilla</t>
  </si>
  <si>
    <t xml:space="preserve">P.U. base (S/)</t>
  </si>
  <si>
    <t xml:space="preserve">Excavación con retroexcavadora (zapatas + zanjas) y carguío</t>
  </si>
  <si>
    <t xml:space="preserve">-</t>
  </si>
  <si>
    <t xml:space="preserve">Máquina: ver hoja Mi costo</t>
  </si>
  <si>
    <t xml:space="preserve">Perfilado y nivelación de fondos</t>
  </si>
  <si>
    <t xml:space="preserve">Pozos 54.4 + zanjas VE 17.2 + VC 3.6</t>
  </si>
  <si>
    <t xml:space="preserve">Excavación manual cerco</t>
  </si>
  <si>
    <t xml:space="preserve">Relleno compactado con material propio</t>
  </si>
  <si>
    <t xml:space="preserve">Con apisonador</t>
  </si>
  <si>
    <t xml:space="preserve">Solado</t>
  </si>
  <si>
    <t xml:space="preserve">Cimiento corrido ciclópeo cerco</t>
  </si>
  <si>
    <t xml:space="preserve">Sobrecimiento - vaciado</t>
  </si>
  <si>
    <t xml:space="preserve">Encofrado y desencofrado de sobrecimiento</t>
  </si>
  <si>
    <t xml:space="preserve">04.09a</t>
  </si>
  <si>
    <t xml:space="preserve">Acero zapatas - habilitado y colocado</t>
  </si>
  <si>
    <t xml:space="preserve">04.09b</t>
  </si>
  <si>
    <t xml:space="preserve">Acero VE y VC - habilitado y colocado</t>
  </si>
  <si>
    <t xml:space="preserve">Encofrado y desencofrado VE y VC</t>
  </si>
  <si>
    <t xml:space="preserve">VE 46.7 + VC 5.2</t>
  </si>
  <si>
    <t xml:space="preserve">Colocación de tecnopor bajo VE</t>
  </si>
  <si>
    <t xml:space="preserve">Vaciado y vibrado premezclado - cimentación (37 m³)</t>
  </si>
  <si>
    <t xml:space="preserve">1 día + eventuales</t>
  </si>
  <si>
    <t xml:space="preserve">04.09c</t>
  </si>
  <si>
    <t xml:space="preserve">Acero columnas - habilitado y colocado (estribos densos)</t>
  </si>
  <si>
    <t xml:space="preserve">E-10 nota 5: fierrería alta</t>
  </si>
  <si>
    <t xml:space="preserve">Encofrado y desencofrado columnas (h = 3.30)</t>
  </si>
  <si>
    <t xml:space="preserve">Vaciado y vibrado premezclado - columnas + CA (contra muro endentado)</t>
  </si>
  <si>
    <t xml:space="preserve">Con bomba, 1 día</t>
  </si>
  <si>
    <t xml:space="preserve">04.09d</t>
  </si>
  <si>
    <t xml:space="preserve">Acero cerco</t>
  </si>
  <si>
    <t xml:space="preserve">Encofrado y desencofrado cerco</t>
  </si>
  <si>
    <t xml:space="preserve">04.08c</t>
  </si>
  <si>
    <t xml:space="preserve">Concreto solera cerco (hecho en obra)</t>
  </si>
  <si>
    <t xml:space="preserve">Anclajes con epóxico</t>
  </si>
  <si>
    <t xml:space="preserve">Muro KK de soga - cerco</t>
  </si>
  <si>
    <t xml:space="preserve">Muro portante KK endentado - linderos (albañilería confinada)</t>
  </si>
  <si>
    <t xml:space="preserve">Más lento: endentado y plomo para confinar</t>
  </si>
  <si>
    <t xml:space="preserve">Muro KK de soga - fondo (tabique con junta)</t>
  </si>
  <si>
    <t xml:space="preserve">Junta con tecnopor 1"</t>
  </si>
  <si>
    <t xml:space="preserve">Curado de concreto (riego diario)</t>
  </si>
  <si>
    <t xml:space="preserve">≈ 1 h diaria</t>
  </si>
  <si>
    <t xml:space="preserve">06.03</t>
  </si>
  <si>
    <t xml:space="preserve">Limpieza final</t>
  </si>
  <si>
    <t xml:space="preserve">Dirección técnica y residencia de obra</t>
  </si>
  <si>
    <t xml:space="preserve">Total</t>
  </si>
  <si>
    <t xml:space="preserve">A cotizar (redondeado)</t>
  </si>
  <si>
    <t xml:space="preserve">MI COSTO REAL Y GANANCIA COMO CONTRATISTA - HOJA INTERNA, NO ENVIAR</t>
  </si>
  <si>
    <t xml:space="preserve">Cuadrilla: 1 operario + 1 ayudante, más tú trabajando y dirigiendo. Jornales informales pagados por día trabajado.</t>
  </si>
  <si>
    <t xml:space="preserve">Valor</t>
  </si>
  <si>
    <t xml:space="preserve">Und / nota</t>
  </si>
  <si>
    <t xml:space="preserve">Días-cuadrilla de trabajo (operario + ayudante)</t>
  </si>
  <si>
    <t xml:space="preserve">Suma de la hoja Mano de obra</t>
  </si>
  <si>
    <t xml:space="preserve">Tu aporte de productividad (trabajando con ellos)</t>
  </si>
  <si>
    <t xml:space="preserve">1.35 = rindes como 1/3 más de cuadrilla (no rindes 100% porque compras, coordinas y supervisas)</t>
  </si>
  <si>
    <t xml:space="preserve">Pérdidas, esperas, lluvia/feriados</t>
  </si>
  <si>
    <t xml:space="preserve">+10%</t>
  </si>
  <si>
    <t xml:space="preserve">DURACIÓN ESTIMADA (días hábiles)</t>
  </si>
  <si>
    <t xml:space="preserve">Lunes a sábado</t>
  </si>
  <si>
    <t xml:space="preserve">Duración en semanas</t>
  </si>
  <si>
    <t xml:space="preserve">semanas</t>
  </si>
  <si>
    <t xml:space="preserve">COSTOS QUE PAGAS TÚ</t>
  </si>
  <si>
    <t xml:space="preserve">Operario: días × jornal</t>
  </si>
  <si>
    <t xml:space="preserve">Ayudante: días × jornal</t>
  </si>
  <si>
    <t xml:space="preserve">Eventuales para vaciados (4 en cimentación + 2 en columnas)</t>
  </si>
  <si>
    <t xml:space="preserve">1 día cada uno</t>
  </si>
  <si>
    <t xml:space="preserve">Retroexcavadora: 14 h (mín. 5 h por día)</t>
  </si>
  <si>
    <t xml:space="preserve">Excavación 120 m³ + carguío de 5 volquetes</t>
  </si>
  <si>
    <t xml:space="preserve">Confirmar si está incluido</t>
  </si>
  <si>
    <t xml:space="preserve">Compra trompo (mezcladora)</t>
  </si>
  <si>
    <t xml:space="preserve">Queda para otras obras</t>
  </si>
  <si>
    <t xml:space="preserve">Compra vibradora de concreto</t>
  </si>
  <si>
    <t xml:space="preserve">Compra encofrado: fenólico 18 mm</t>
  </si>
  <si>
    <t xml:space="preserve">32 planchas: VE+VC (83 m²) van en un solo vaciado; luego se reusan en columnas, sobrecimiento y cerco</t>
  </si>
  <si>
    <t xml:space="preserve">Compra encofrado: listones 2"x3"x10', estacas, tensores</t>
  </si>
  <si>
    <t xml:space="preserve">SCTR + EPP (casco, botas, guantes, lentes)</t>
  </si>
  <si>
    <t xml:space="preserve">Obligatorio tenerlo por seguridad</t>
  </si>
  <si>
    <t xml:space="preserve">Herramientas menores y consumibles (discos, brocas, baldes)</t>
  </si>
  <si>
    <t xml:space="preserve">Movilidad / pasajes propios</t>
  </si>
  <si>
    <t xml:space="preserve">~10 semanas</t>
  </si>
  <si>
    <t xml:space="preserve">TOTAL DE MIS COSTOS (salida de caja)</t>
  </si>
  <si>
    <t xml:space="preserve">COBRO DE MANO DE OBRA AL CLIENTE</t>
  </si>
  <si>
    <t xml:space="preserve">Hoja Mano de obra (redondeado)</t>
  </si>
  <si>
    <t xml:space="preserve">MI GANANCIA EN EFECTIVO (cobro - salida de caja)</t>
  </si>
  <si>
    <t xml:space="preserve">Lo que te queda en el bolsillo al terminar</t>
  </si>
  <si>
    <t xml:space="preserve">Valor de equipos y encofrado que te quedan</t>
  </si>
  <si>
    <t xml:space="preserve">Los puedes usar en la siguiente obra o vender</t>
  </si>
  <si>
    <t xml:space="preserve">MI GANANCIA REAL (efectivo + equipos que te quedan)</t>
  </si>
  <si>
    <t xml:space="preserve">Ganancia real por semana</t>
  </si>
  <si>
    <t xml:space="preserve">Compárala con lo que ganarías como operario (~S/ 780/semana)</t>
  </si>
  <si>
    <t xml:space="preserve">Margen real sobre lo cobrado</t>
  </si>
  <si>
    <t xml:space="preserve">SENSIBILIDAD - si la obra se demora más</t>
  </si>
  <si>
    <t xml:space="preserve">Días hábiles reales</t>
  </si>
  <si>
    <t xml:space="preserve">Mi ganancia real (S/)</t>
  </si>
  <si>
    <t xml:space="preserve">OPCIÓN A - REDUCCIÓN DE ACERO EN VE Y VC (DECISIÓN DE CAMPO) - HOJA INTERNA, NO ENVIAR</t>
  </si>
  <si>
    <t xml:space="preserve">La cotización y los metrados se quedan con el acero del plano E-02/E-03. Esta hoja sirve para decidir en obra, ANTES de comprar y habilitar el fierro de vigas.</t>
  </si>
  <si>
    <t xml:space="preserve">Viga</t>
  </si>
  <si>
    <t xml:space="preserve">Mu (t·m) / T (t)</t>
  </si>
  <si>
    <t xml:space="preserve">Plano: acero sup. / inf.</t>
  </si>
  <si>
    <t xml:space="preserve">φMn plano</t>
  </si>
  <si>
    <t xml:space="preserve">D/C plano</t>
  </si>
  <si>
    <t xml:space="preserve">Opción A: acero sup. / inf.</t>
  </si>
  <si>
    <t xml:space="preserve">φMn A</t>
  </si>
  <si>
    <t xml:space="preserve">D/C A</t>
  </si>
  <si>
    <t xml:space="preserve">VE-1 (4 und) h 0.70</t>
  </si>
  <si>
    <t xml:space="preserve">4Ø3/4"+1Ø5/8" / igual</t>
  </si>
  <si>
    <t xml:space="preserve">3Ø3/4"+1Ø1/2" / 2Ø3/4"</t>
  </si>
  <si>
    <t xml:space="preserve">VE-2 (12 und) h 0.70</t>
  </si>
  <si>
    <t xml:space="preserve">3Ø3/4"+1Ø5/8" / igual</t>
  </si>
  <si>
    <t xml:space="preserve">VE momento positivo (inversión sísmica)</t>
  </si>
  <si>
    <t xml:space="preserve">verificar</t>
  </si>
  <si>
    <t xml:space="preserve">igual al superior</t>
  </si>
  <si>
    <t xml:space="preserve">2Ø3/4" inferior</t>
  </si>
  <si>
    <t xml:space="preserve">M+ ETABS ≤ 13.1</t>
  </si>
  <si>
    <t xml:space="preserve">VC (6 und) 0.25×0.40 - tracción</t>
  </si>
  <si>
    <t xml:space="preserve">3Ø5/8" / 3Ø5/8"</t>
  </si>
  <si>
    <t xml:space="preserve">2Ø5/8" / 2Ø5/8"</t>
  </si>
  <si>
    <t xml:space="preserve">Estribos sin cambio: □Ø3/8" 1@0.05, rto. @0.15 (VE) y @0.20 (VC). Mismos ganchos de 0.45 en columnas extremas. Sección y niveles sin cambio (VE de -1.50 a -0.80).</t>
  </si>
  <si>
    <t xml:space="preserve">Varillas de 9 m (VE + VC)</t>
  </si>
  <si>
    <t xml:space="preserve">Plano (cotizado)</t>
  </si>
  <si>
    <t xml:space="preserve">Opción A</t>
  </si>
  <si>
    <t xml:space="preserve">Ahorro (S/)</t>
  </si>
  <si>
    <t xml:space="preserve">Ø3/4"</t>
  </si>
  <si>
    <t xml:space="preserve">5 barras por tramo (antes 8 en eje 2 y 6 en el resto)</t>
  </si>
  <si>
    <t xml:space="preserve">Ø5/8" en VE</t>
  </si>
  <si>
    <t xml:space="preserve">La barra de 5/8" se reemplaza por 1/2"</t>
  </si>
  <si>
    <t xml:space="preserve">Ø5/8" en VC</t>
  </si>
  <si>
    <t xml:space="preserve">4 barras por VC en vez de 6</t>
  </si>
  <si>
    <t xml:space="preserve">Ø1/2" en VE</t>
  </si>
  <si>
    <t xml:space="preserve">1 barra superior por tramo</t>
  </si>
  <si>
    <t xml:space="preserve">AHORRO EN FIERRO</t>
  </si>
  <si>
    <t xml:space="preserve">Unos 511 kg menos (VE 1,815 → 1,379 kg; VC 282 → 207 kg)</t>
  </si>
  <si>
    <t xml:space="preserve">Días de fierrería que te ahorras</t>
  </si>
  <si>
    <t xml:space="preserve">Rendimiento de 250 kg/día de la cuadrilla</t>
  </si>
  <si>
    <t xml:space="preserve">Jornales que te ahorras (tu ganancia)</t>
  </si>
  <si>
    <t xml:space="preserve">La mano de obra cobrada sigue en S/ 36,000</t>
  </si>
  <si>
    <t xml:space="preserve">¿QUIÉN SE QUEDA CON EL AHORRO?</t>
  </si>
  <si>
    <t xml:space="preserve">• El fierro lo paga el cliente (compra directa): el ahorro en material es del cliente. Puedes ofrecerlo como mejora / descuento o compensarlo con un adicional.</t>
  </si>
  <si>
    <t xml:space="preserve">• Lo tuyo es el tiempo: unos 2 días menos de fierrería con la misma mano de obra cobrada.</t>
  </si>
  <si>
    <t xml:space="preserve">CONDICIONES PARA APLICARLA EN CAMPO (todas en SÍ)</t>
  </si>
  <si>
    <t xml:space="preserve">Condición</t>
  </si>
  <si>
    <t xml:space="preserve">¿Cumple?</t>
  </si>
  <si>
    <t xml:space="preserve">Cómo se verifica</t>
  </si>
  <si>
    <t xml:space="preserve">Momento positivo en VE (ETABS, 0.9D ± E) ≤ 13.1 t·m</t>
  </si>
  <si>
    <t xml:space="preserve">Revisar en el modelo, VE-1 y VE-2</t>
  </si>
  <si>
    <t xml:space="preserve">Se decide ANTES de comprar el fierro de vigas</t>
  </si>
  <si>
    <t xml:space="preserve">La compra de fierro de VE va en la semana 2 (después de excavar)</t>
  </si>
  <si>
    <t xml:space="preserve">Nota firmada en cuaderno de obra o revisión del plano E-02</t>
  </si>
  <si>
    <t xml:space="preserve">Como diseñador estructural, dejar constancia del cambio de armado</t>
  </si>
  <si>
    <t xml:space="preserve">La barra de 1/2" va al centro, entre las 3 de 3/4" de arriba</t>
  </si>
  <si>
    <t xml:space="preserve">Las 3/4" van en las esquinas y al medio; 4 barras entran en una capa</t>
  </si>
  <si>
    <t xml:space="preserve">Empalmes y ganchos sin cambio (nota 6 y 9 del plano)</t>
  </si>
  <si>
    <t xml:space="preserve">No empalmar sobre la zapata excéntrica ni en el primer tercio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</si>
</sst>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0.0%"/>
    <numFmt numFmtId="167" formatCode="0%"/>
    <numFmt numFmtId="168" formatCode="\+#,##0.00;\-#,##0.00;\-"/>
    <numFmt numFmtId="169" formatCode="#,##0.0"/>
    <numFmt numFmtId="170" formatCode="0"/>
    <numFmt numFmtId="171" formatCode="0.000"/>
    <numFmt numFmtId="172" formatCode="0.0"/>
    <numFmt numFmtId="173" formatCode="#,##0"/>
    <numFmt numFmtId="174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C00000"/>
      <name val="Arial"/>
      <family val="0"/>
      <charset val="1"/>
    </font>
    <font>
      <i val="true"/>
      <sz val="8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Materiales!$F$33</f>
        <v>53866.39</v>
      </c>
      <c r="C5" s="6" t="n">
        <f aca="false">B5/$B$10</f>
        <v>0.551644314127364</v>
      </c>
      <c r="D5" s="4" t="s">
        <v>7</v>
      </c>
    </row>
    <row r="6" customFormat="false" ht="15" hidden="false" customHeight="false" outlineLevel="0" collapsed="false">
      <c r="A6" s="4" t="s">
        <v>8</v>
      </c>
      <c r="B6" s="5" t="n">
        <f aca="false">'Equipos y servicios'!$F$11</f>
        <v>4845</v>
      </c>
      <c r="C6" s="6" t="n">
        <f aca="false">B6/$B$10</f>
        <v>0.0496175203489055</v>
      </c>
      <c r="D6" s="4" t="s">
        <v>9</v>
      </c>
    </row>
    <row r="7" customFormat="false" ht="15" hidden="false" customHeight="false" outlineLevel="0" collapsed="false">
      <c r="A7" s="4" t="s">
        <v>10</v>
      </c>
      <c r="B7" s="5" t="n">
        <f aca="false">'Mano de obra'!$F$35</f>
        <v>36000</v>
      </c>
      <c r="C7" s="6" t="n">
        <f aca="false">B7/$B$10</f>
        <v>0.368675073799917</v>
      </c>
      <c r="D7" s="4" t="s">
        <v>11</v>
      </c>
    </row>
    <row r="8" customFormat="false" ht="15" hidden="false" customHeight="false" outlineLevel="0" collapsed="false">
      <c r="A8" s="7" t="s">
        <v>12</v>
      </c>
      <c r="B8" s="8" t="n">
        <f aca="false">SUM(B5:B7)</f>
        <v>94711.39</v>
      </c>
      <c r="C8" s="6" t="n">
        <f aca="false">B8/$B$10</f>
        <v>0.969936908276187</v>
      </c>
    </row>
    <row r="9" customFormat="false" ht="15" hidden="false" customHeight="false" outlineLevel="0" collapsed="false">
      <c r="A9" s="4" t="s">
        <v>13</v>
      </c>
      <c r="B9" s="5" t="n">
        <f aca="false">0.05*(B5+B6)</f>
        <v>2935.5695</v>
      </c>
      <c r="C9" s="6" t="n">
        <f aca="false">B9/$B$10</f>
        <v>0.0300630917238135</v>
      </c>
      <c r="D9" s="4" t="s">
        <v>14</v>
      </c>
    </row>
    <row r="10" customFormat="false" ht="15" hidden="false" customHeight="false" outlineLevel="0" collapsed="false">
      <c r="A10" s="7" t="s">
        <v>15</v>
      </c>
      <c r="B10" s="8" t="n">
        <f aca="false">B8+B9</f>
        <v>97646.9595</v>
      </c>
      <c r="C10" s="6" t="n">
        <f aca="false">B10/$B$10</f>
        <v>1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3" customFormat="false" ht="15" hidden="false" customHeight="false" outlineLevel="0" collapsed="false">
      <c r="A13" s="9" t="s">
        <v>18</v>
      </c>
    </row>
    <row r="14" customFormat="false" ht="31.5" hidden="false" customHeight="true" outlineLevel="0" collapsed="false">
      <c r="A14" s="3" t="s">
        <v>19</v>
      </c>
      <c r="B14" s="3" t="s">
        <v>3</v>
      </c>
      <c r="C14" s="3" t="s">
        <v>4</v>
      </c>
      <c r="D14" s="3"/>
    </row>
    <row r="15" customFormat="false" ht="15" hidden="false" customHeight="false" outlineLevel="0" collapsed="false">
      <c r="A15" s="4" t="s">
        <v>20</v>
      </c>
      <c r="B15" s="5" t="n">
        <f aca="false">$B$7*C15</f>
        <v>5400</v>
      </c>
      <c r="C15" s="10" t="n">
        <v>0.15</v>
      </c>
    </row>
    <row r="16" customFormat="false" ht="15" hidden="false" customHeight="false" outlineLevel="0" collapsed="false">
      <c r="A16" s="4" t="s">
        <v>21</v>
      </c>
      <c r="B16" s="5" t="n">
        <f aca="false">$B$7*C16</f>
        <v>10800</v>
      </c>
      <c r="C16" s="10" t="n">
        <v>0.3</v>
      </c>
    </row>
    <row r="17" customFormat="false" ht="15" hidden="false" customHeight="false" outlineLevel="0" collapsed="false">
      <c r="A17" s="4" t="s">
        <v>22</v>
      </c>
      <c r="B17" s="5" t="n">
        <f aca="false">$B$7*C17</f>
        <v>4320</v>
      </c>
      <c r="C17" s="10" t="n">
        <v>0.12</v>
      </c>
    </row>
    <row r="18" customFormat="false" ht="15" hidden="false" customHeight="false" outlineLevel="0" collapsed="false">
      <c r="A18" s="4" t="s">
        <v>23</v>
      </c>
      <c r="B18" s="5" t="n">
        <f aca="false">$B$7*C18</f>
        <v>8280</v>
      </c>
      <c r="C18" s="10" t="n">
        <v>0.23</v>
      </c>
    </row>
    <row r="19" customFormat="false" ht="15" hidden="false" customHeight="false" outlineLevel="0" collapsed="false">
      <c r="A19" s="4" t="s">
        <v>24</v>
      </c>
      <c r="B19" s="5" t="n">
        <f aca="false">$B$7*C19</f>
        <v>7200</v>
      </c>
      <c r="C19" s="10" t="n">
        <v>0.2</v>
      </c>
    </row>
    <row r="20" customFormat="false" ht="15" hidden="false" customHeight="false" outlineLevel="0" collapsed="false">
      <c r="A20" s="7" t="s">
        <v>25</v>
      </c>
      <c r="B20" s="8" t="n">
        <f aca="false">SUM(B15:B19)</f>
        <v>36000</v>
      </c>
      <c r="C20" s="11" t="n">
        <f aca="false">SUM(C15:C19)</f>
        <v>1</v>
      </c>
    </row>
    <row r="22" customFormat="false" ht="15" hidden="false" customHeight="false" outlineLevel="0" collapsed="false">
      <c r="A22" s="12" t="s">
        <v>26</v>
      </c>
    </row>
    <row r="23" customFormat="false" ht="15" hidden="false" customHeight="false" outlineLevel="0" collapsed="false">
      <c r="A23" s="12" t="s">
        <v>27</v>
      </c>
    </row>
    <row r="24" customFormat="false" ht="15" hidden="false" customHeight="false" outlineLevel="0" collapsed="false">
      <c r="A24" s="12" t="s">
        <v>28</v>
      </c>
    </row>
    <row r="25" customFormat="false" ht="15" hidden="false" customHeight="false" outlineLevel="0" collapsed="false">
      <c r="A25" s="1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8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80"/>
  </cols>
  <sheetData>
    <row r="1" customFormat="false" ht="16.1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</row>
    <row r="5" customFormat="false" ht="15" hidden="false" customHeight="false" outlineLevel="0" collapsed="false">
      <c r="A5" s="13" t="s">
        <v>39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s">
        <v>40</v>
      </c>
      <c r="B6" s="4" t="s">
        <v>41</v>
      </c>
      <c r="C6" s="4" t="s">
        <v>42</v>
      </c>
      <c r="D6" s="5" t="n">
        <v>170</v>
      </c>
      <c r="E6" s="15" t="n">
        <v>170</v>
      </c>
      <c r="F6" s="16" t="n">
        <f aca="false">E6-D6</f>
        <v>0</v>
      </c>
      <c r="G6" s="17" t="s">
        <v>43</v>
      </c>
    </row>
    <row r="7" customFormat="false" ht="15" hidden="false" customHeight="false" outlineLevel="0" collapsed="false">
      <c r="A7" s="4" t="s">
        <v>44</v>
      </c>
      <c r="B7" s="4" t="s">
        <v>45</v>
      </c>
      <c r="C7" s="4" t="s">
        <v>42</v>
      </c>
      <c r="D7" s="5" t="n">
        <v>170</v>
      </c>
      <c r="E7" s="15" t="n">
        <v>170</v>
      </c>
      <c r="F7" s="16" t="n">
        <f aca="false">E7-D7</f>
        <v>0</v>
      </c>
      <c r="G7" s="17" t="s">
        <v>43</v>
      </c>
    </row>
    <row r="8" customFormat="false" ht="15" hidden="false" customHeight="false" outlineLevel="0" collapsed="false">
      <c r="A8" s="13" t="s">
        <v>46</v>
      </c>
      <c r="B8" s="14"/>
      <c r="C8" s="14"/>
      <c r="D8" s="14"/>
      <c r="E8" s="14"/>
      <c r="F8" s="14"/>
      <c r="G8" s="14"/>
    </row>
    <row r="9" customFormat="false" ht="15" hidden="false" customHeight="false" outlineLevel="0" collapsed="false">
      <c r="A9" s="4" t="s">
        <v>47</v>
      </c>
      <c r="B9" s="4" t="s">
        <v>48</v>
      </c>
      <c r="C9" s="4" t="s">
        <v>49</v>
      </c>
      <c r="D9" s="5" t="n">
        <v>87.1</v>
      </c>
      <c r="E9" s="15" t="n">
        <v>87.1</v>
      </c>
      <c r="F9" s="16" t="n">
        <f aca="false">E9-D9</f>
        <v>0</v>
      </c>
      <c r="G9" s="17" t="s">
        <v>50</v>
      </c>
    </row>
    <row r="10" customFormat="false" ht="22.35" hidden="false" customHeight="false" outlineLevel="0" collapsed="false">
      <c r="A10" s="18" t="s">
        <v>51</v>
      </c>
      <c r="B10" s="18" t="s">
        <v>52</v>
      </c>
      <c r="C10" s="18" t="s">
        <v>49</v>
      </c>
      <c r="D10" s="19" t="n">
        <v>24.3</v>
      </c>
      <c r="E10" s="20" t="n">
        <v>32.9</v>
      </c>
      <c r="F10" s="21" t="n">
        <f aca="false">E10-D10</f>
        <v>8.6</v>
      </c>
      <c r="G10" s="22" t="s">
        <v>53</v>
      </c>
    </row>
    <row r="11" customFormat="false" ht="15" hidden="false" customHeight="false" outlineLevel="0" collapsed="false">
      <c r="A11" s="18" t="s">
        <v>54</v>
      </c>
      <c r="B11" s="18" t="s">
        <v>55</v>
      </c>
      <c r="C11" s="18" t="s">
        <v>49</v>
      </c>
      <c r="D11" s="19" t="n">
        <v>5</v>
      </c>
      <c r="E11" s="20" t="n">
        <v>13.3</v>
      </c>
      <c r="F11" s="21" t="n">
        <f aca="false">E11-D11</f>
        <v>8.3</v>
      </c>
      <c r="G11" s="22" t="s">
        <v>56</v>
      </c>
    </row>
    <row r="12" customFormat="false" ht="22.35" hidden="false" customHeight="false" outlineLevel="0" collapsed="false">
      <c r="A12" s="18" t="s">
        <v>57</v>
      </c>
      <c r="B12" s="18" t="s">
        <v>58</v>
      </c>
      <c r="C12" s="18" t="s">
        <v>49</v>
      </c>
      <c r="D12" s="19" t="n">
        <v>79.4</v>
      </c>
      <c r="E12" s="20" t="n">
        <v>70.5</v>
      </c>
      <c r="F12" s="21" t="n">
        <f aca="false">E12-D12</f>
        <v>-8.90000000000001</v>
      </c>
      <c r="G12" s="22" t="s">
        <v>59</v>
      </c>
    </row>
    <row r="13" customFormat="false" ht="15" hidden="false" customHeight="false" outlineLevel="0" collapsed="false">
      <c r="A13" s="18" t="s">
        <v>60</v>
      </c>
      <c r="B13" s="18" t="s">
        <v>61</v>
      </c>
      <c r="C13" s="18" t="s">
        <v>49</v>
      </c>
      <c r="D13" s="19" t="n">
        <v>53.5</v>
      </c>
      <c r="E13" s="20" t="n">
        <v>78.5</v>
      </c>
      <c r="F13" s="21" t="n">
        <f aca="false">E13-D13</f>
        <v>25</v>
      </c>
      <c r="G13" s="22" t="s">
        <v>62</v>
      </c>
    </row>
    <row r="14" customFormat="false" ht="15" hidden="false" customHeight="false" outlineLevel="0" collapsed="false">
      <c r="A14" s="13" t="s">
        <v>63</v>
      </c>
      <c r="B14" s="14"/>
      <c r="C14" s="14"/>
      <c r="D14" s="14"/>
      <c r="E14" s="14"/>
      <c r="F14" s="14"/>
      <c r="G14" s="14"/>
    </row>
    <row r="15" customFormat="false" ht="15" hidden="false" customHeight="false" outlineLevel="0" collapsed="false">
      <c r="A15" s="4" t="s">
        <v>64</v>
      </c>
      <c r="B15" s="4" t="s">
        <v>65</v>
      </c>
      <c r="C15" s="4" t="s">
        <v>42</v>
      </c>
      <c r="D15" s="5" t="n">
        <v>50</v>
      </c>
      <c r="E15" s="15" t="n">
        <v>50</v>
      </c>
      <c r="F15" s="16" t="n">
        <f aca="false">E15-D15</f>
        <v>0</v>
      </c>
      <c r="G15" s="17" t="s">
        <v>66</v>
      </c>
    </row>
    <row r="16" customFormat="false" ht="15" hidden="false" customHeight="false" outlineLevel="0" collapsed="false">
      <c r="A16" s="4" t="s">
        <v>67</v>
      </c>
      <c r="B16" s="4" t="s">
        <v>68</v>
      </c>
      <c r="C16" s="4" t="s">
        <v>49</v>
      </c>
      <c r="D16" s="5" t="n">
        <v>2.2</v>
      </c>
      <c r="E16" s="15" t="n">
        <v>2.2</v>
      </c>
      <c r="F16" s="16" t="n">
        <f aca="false">E16-D16</f>
        <v>0</v>
      </c>
      <c r="G16" s="17" t="s">
        <v>69</v>
      </c>
    </row>
    <row r="17" customFormat="false" ht="22.35" hidden="false" customHeight="false" outlineLevel="0" collapsed="false">
      <c r="A17" s="18" t="s">
        <v>70</v>
      </c>
      <c r="B17" s="18" t="s">
        <v>71</v>
      </c>
      <c r="C17" s="18" t="s">
        <v>49</v>
      </c>
      <c r="D17" s="19" t="n">
        <v>2.7</v>
      </c>
      <c r="E17" s="20" t="n">
        <v>5.85</v>
      </c>
      <c r="F17" s="21" t="n">
        <f aca="false">E17-D17</f>
        <v>3.15</v>
      </c>
      <c r="G17" s="22" t="s">
        <v>72</v>
      </c>
    </row>
    <row r="18" customFormat="false" ht="15" hidden="false" customHeight="false" outlineLevel="0" collapsed="false">
      <c r="A18" s="18" t="s">
        <v>73</v>
      </c>
      <c r="B18" s="18" t="s">
        <v>74</v>
      </c>
      <c r="C18" s="18" t="s">
        <v>42</v>
      </c>
      <c r="D18" s="19" t="n">
        <v>35.4</v>
      </c>
      <c r="E18" s="20" t="n">
        <v>78</v>
      </c>
      <c r="F18" s="21" t="n">
        <f aca="false">E18-D18</f>
        <v>42.6</v>
      </c>
      <c r="G18" s="22" t="s">
        <v>75</v>
      </c>
    </row>
    <row r="19" customFormat="false" ht="15" hidden="false" customHeight="false" outlineLevel="0" collapsed="false">
      <c r="A19" s="13" t="s">
        <v>76</v>
      </c>
      <c r="B19" s="14"/>
      <c r="C19" s="14"/>
      <c r="D19" s="14"/>
      <c r="E19" s="14"/>
      <c r="F19" s="14"/>
      <c r="G19" s="14"/>
    </row>
    <row r="20" customFormat="false" ht="22.35" hidden="false" customHeight="false" outlineLevel="0" collapsed="false">
      <c r="A20" s="4" t="s">
        <v>77</v>
      </c>
      <c r="B20" s="4" t="s">
        <v>78</v>
      </c>
      <c r="C20" s="4" t="s">
        <v>49</v>
      </c>
      <c r="D20" s="5" t="n">
        <v>23.4</v>
      </c>
      <c r="E20" s="15" t="n">
        <v>23.4</v>
      </c>
      <c r="F20" s="16" t="n">
        <f aca="false">E20-D20</f>
        <v>0</v>
      </c>
      <c r="G20" s="17" t="s">
        <v>79</v>
      </c>
    </row>
    <row r="21" customFormat="false" ht="22.35" hidden="false" customHeight="false" outlineLevel="0" collapsed="false">
      <c r="A21" s="18" t="s">
        <v>80</v>
      </c>
      <c r="B21" s="18" t="s">
        <v>81</v>
      </c>
      <c r="C21" s="18" t="s">
        <v>49</v>
      </c>
      <c r="D21" s="19" t="n">
        <v>5.2</v>
      </c>
      <c r="E21" s="20" t="n">
        <v>7.01</v>
      </c>
      <c r="F21" s="21" t="n">
        <f aca="false">E21-D21</f>
        <v>1.81</v>
      </c>
      <c r="G21" s="22" t="s">
        <v>82</v>
      </c>
    </row>
    <row r="22" customFormat="false" ht="15" hidden="false" customHeight="false" outlineLevel="0" collapsed="false">
      <c r="A22" s="18" t="s">
        <v>83</v>
      </c>
      <c r="B22" s="18" t="s">
        <v>84</v>
      </c>
      <c r="C22" s="18" t="s">
        <v>42</v>
      </c>
      <c r="D22" s="19" t="n">
        <v>34.4</v>
      </c>
      <c r="E22" s="20" t="n">
        <v>46.7</v>
      </c>
      <c r="F22" s="21" t="n">
        <f aca="false">E22-D22</f>
        <v>12.3</v>
      </c>
      <c r="G22" s="22" t="s">
        <v>85</v>
      </c>
    </row>
    <row r="23" customFormat="false" ht="15" hidden="false" customHeight="false" outlineLevel="0" collapsed="false">
      <c r="A23" s="4" t="s">
        <v>86</v>
      </c>
      <c r="B23" s="4" t="s">
        <v>87</v>
      </c>
      <c r="C23" s="4" t="s">
        <v>42</v>
      </c>
      <c r="D23" s="5" t="n">
        <v>7.4</v>
      </c>
      <c r="E23" s="15" t="n">
        <v>7.4</v>
      </c>
      <c r="F23" s="16" t="n">
        <f aca="false">E23-D23</f>
        <v>0</v>
      </c>
      <c r="G23" s="17" t="s">
        <v>88</v>
      </c>
    </row>
    <row r="24" customFormat="false" ht="15" hidden="false" customHeight="false" outlineLevel="0" collapsed="false">
      <c r="A24" s="4" t="s">
        <v>89</v>
      </c>
      <c r="B24" s="4" t="s">
        <v>90</v>
      </c>
      <c r="C24" s="4" t="s">
        <v>49</v>
      </c>
      <c r="D24" s="5" t="n">
        <v>0.7</v>
      </c>
      <c r="E24" s="15" t="n">
        <v>0.66</v>
      </c>
      <c r="F24" s="16" t="n">
        <f aca="false">E24-D24</f>
        <v>-0.0399999999999999</v>
      </c>
      <c r="G24" s="17" t="s">
        <v>91</v>
      </c>
    </row>
    <row r="25" customFormat="false" ht="15" hidden="false" customHeight="false" outlineLevel="0" collapsed="false">
      <c r="A25" s="4" t="s">
        <v>92</v>
      </c>
      <c r="B25" s="4" t="s">
        <v>93</v>
      </c>
      <c r="C25" s="4" t="s">
        <v>42</v>
      </c>
      <c r="D25" s="5" t="n">
        <v>5.2</v>
      </c>
      <c r="E25" s="15" t="n">
        <v>5.2</v>
      </c>
      <c r="F25" s="16" t="n">
        <f aca="false">E25-D25</f>
        <v>0</v>
      </c>
      <c r="G25" s="17" t="s">
        <v>94</v>
      </c>
    </row>
    <row r="26" customFormat="false" ht="15" hidden="false" customHeight="false" outlineLevel="0" collapsed="false">
      <c r="A26" s="4" t="s">
        <v>95</v>
      </c>
      <c r="B26" s="4" t="s">
        <v>96</v>
      </c>
      <c r="C26" s="4" t="s">
        <v>49</v>
      </c>
      <c r="D26" s="5" t="n">
        <v>8.2</v>
      </c>
      <c r="E26" s="15" t="n">
        <v>8.32</v>
      </c>
      <c r="F26" s="16" t="n">
        <f aca="false">E26-D26</f>
        <v>0.120000000000001</v>
      </c>
      <c r="G26" s="17" t="s">
        <v>97</v>
      </c>
    </row>
    <row r="27" customFormat="false" ht="15" hidden="false" customHeight="false" outlineLevel="0" collapsed="false">
      <c r="A27" s="18" t="s">
        <v>98</v>
      </c>
      <c r="B27" s="18" t="s">
        <v>99</v>
      </c>
      <c r="C27" s="18" t="s">
        <v>42</v>
      </c>
      <c r="D27" s="19" t="n">
        <v>83.5</v>
      </c>
      <c r="E27" s="20" t="n">
        <v>79.1</v>
      </c>
      <c r="F27" s="21" t="n">
        <f aca="false">E27-D27</f>
        <v>-4.40000000000001</v>
      </c>
      <c r="G27" s="22" t="s">
        <v>100</v>
      </c>
    </row>
    <row r="28" customFormat="false" ht="15" hidden="false" customHeight="false" outlineLevel="0" collapsed="false">
      <c r="A28" s="4" t="s">
        <v>101</v>
      </c>
      <c r="B28" s="4" t="s">
        <v>102</v>
      </c>
      <c r="C28" s="4" t="s">
        <v>49</v>
      </c>
      <c r="D28" s="5" t="n">
        <v>3.5</v>
      </c>
      <c r="E28" s="15" t="n">
        <v>3.5</v>
      </c>
      <c r="F28" s="16" t="n">
        <f aca="false">E28-D28</f>
        <v>0</v>
      </c>
      <c r="G28" s="17" t="s">
        <v>103</v>
      </c>
    </row>
    <row r="29" customFormat="false" ht="15" hidden="false" customHeight="false" outlineLevel="0" collapsed="false">
      <c r="A29" s="4" t="s">
        <v>104</v>
      </c>
      <c r="B29" s="4" t="s">
        <v>105</v>
      </c>
      <c r="C29" s="4" t="s">
        <v>42</v>
      </c>
      <c r="D29" s="5" t="n">
        <v>21.9</v>
      </c>
      <c r="E29" s="15" t="n">
        <v>21.9</v>
      </c>
      <c r="F29" s="16" t="n">
        <f aca="false">E29-D29</f>
        <v>0</v>
      </c>
      <c r="G29" s="17" t="s">
        <v>106</v>
      </c>
    </row>
    <row r="30" customFormat="false" ht="22.35" hidden="false" customHeight="false" outlineLevel="0" collapsed="false">
      <c r="A30" s="18" t="s">
        <v>107</v>
      </c>
      <c r="B30" s="18" t="s">
        <v>108</v>
      </c>
      <c r="C30" s="18" t="s">
        <v>109</v>
      </c>
      <c r="D30" s="19" t="n">
        <v>4881</v>
      </c>
      <c r="E30" s="20" t="n">
        <v>5870</v>
      </c>
      <c r="F30" s="21" t="n">
        <f aca="false">E30-D30</f>
        <v>989</v>
      </c>
      <c r="G30" s="22" t="s">
        <v>110</v>
      </c>
    </row>
    <row r="31" customFormat="false" ht="15" hidden="false" customHeight="false" outlineLevel="0" collapsed="false">
      <c r="A31" s="4" t="s">
        <v>111</v>
      </c>
      <c r="B31" s="4" t="s">
        <v>112</v>
      </c>
      <c r="C31" s="4" t="s">
        <v>113</v>
      </c>
      <c r="D31" s="5" t="n">
        <v>8</v>
      </c>
      <c r="E31" s="15" t="n">
        <v>8</v>
      </c>
      <c r="F31" s="16" t="n">
        <f aca="false">E31-D31</f>
        <v>0</v>
      </c>
      <c r="G31" s="17"/>
    </row>
    <row r="32" customFormat="false" ht="15" hidden="false" customHeight="false" outlineLevel="0" collapsed="false">
      <c r="A32" s="13" t="s">
        <v>114</v>
      </c>
      <c r="B32" s="14"/>
      <c r="C32" s="14"/>
      <c r="D32" s="14"/>
      <c r="E32" s="14"/>
      <c r="F32" s="14"/>
      <c r="G32" s="14"/>
    </row>
    <row r="33" customFormat="false" ht="15" hidden="false" customHeight="false" outlineLevel="0" collapsed="false">
      <c r="A33" s="4" t="s">
        <v>115</v>
      </c>
      <c r="B33" s="4" t="s">
        <v>116</v>
      </c>
      <c r="C33" s="4" t="s">
        <v>42</v>
      </c>
      <c r="D33" s="5" t="n">
        <v>29.8</v>
      </c>
      <c r="E33" s="15" t="n">
        <v>29.8</v>
      </c>
      <c r="F33" s="16" t="n">
        <f aca="false">E33-D33</f>
        <v>0</v>
      </c>
      <c r="G33" s="17" t="s">
        <v>106</v>
      </c>
    </row>
    <row r="34" customFormat="false" ht="15" hidden="false" customHeight="false" outlineLevel="0" collapsed="false">
      <c r="A34" s="18" t="s">
        <v>117</v>
      </c>
      <c r="B34" s="18" t="s">
        <v>118</v>
      </c>
      <c r="C34" s="18" t="s">
        <v>42</v>
      </c>
      <c r="D34" s="19" t="n">
        <v>57.1</v>
      </c>
      <c r="E34" s="20" t="n">
        <v>52.5</v>
      </c>
      <c r="F34" s="21" t="n">
        <f aca="false">E34-D34</f>
        <v>-4.6</v>
      </c>
      <c r="G34" s="22" t="s">
        <v>119</v>
      </c>
    </row>
    <row r="35" customFormat="false" ht="15" hidden="false" customHeight="false" outlineLevel="0" collapsed="false">
      <c r="A35" s="18" t="s">
        <v>120</v>
      </c>
      <c r="B35" s="18" t="s">
        <v>121</v>
      </c>
      <c r="C35" s="18" t="s">
        <v>42</v>
      </c>
      <c r="D35" s="19" t="n">
        <v>0</v>
      </c>
      <c r="E35" s="20" t="n">
        <v>14.1</v>
      </c>
      <c r="F35" s="21" t="n">
        <f aca="false">E35-D35</f>
        <v>14.1</v>
      </c>
      <c r="G35" s="22" t="s">
        <v>122</v>
      </c>
    </row>
    <row r="36" customFormat="false" ht="15" hidden="false" customHeight="false" outlineLevel="0" collapsed="false">
      <c r="A36" s="18" t="s">
        <v>123</v>
      </c>
      <c r="B36" s="18" t="s">
        <v>124</v>
      </c>
      <c r="C36" s="18" t="s">
        <v>125</v>
      </c>
      <c r="D36" s="19" t="n">
        <v>42</v>
      </c>
      <c r="E36" s="20" t="n">
        <v>13.6</v>
      </c>
      <c r="F36" s="21" t="n">
        <f aca="false">E36-D36</f>
        <v>-28.4</v>
      </c>
      <c r="G36" s="22" t="s">
        <v>126</v>
      </c>
    </row>
    <row r="37" customFormat="false" ht="15" hidden="false" customHeight="false" outlineLevel="0" collapsed="false">
      <c r="A37" s="13" t="s">
        <v>127</v>
      </c>
      <c r="B37" s="14"/>
      <c r="C37" s="14"/>
      <c r="D37" s="14"/>
      <c r="E37" s="14"/>
      <c r="F37" s="14"/>
      <c r="G37" s="14"/>
    </row>
    <row r="38" customFormat="false" ht="15" hidden="false" customHeight="false" outlineLevel="0" collapsed="false">
      <c r="A38" s="4" t="s">
        <v>128</v>
      </c>
      <c r="B38" s="4" t="s">
        <v>129</v>
      </c>
      <c r="C38" s="4" t="s">
        <v>130</v>
      </c>
      <c r="D38" s="5" t="n">
        <v>1</v>
      </c>
      <c r="E38" s="15" t="n">
        <v>1</v>
      </c>
      <c r="F38" s="16" t="n">
        <f aca="false">E38-D38</f>
        <v>0</v>
      </c>
      <c r="G38" s="17"/>
    </row>
    <row r="39" customFormat="false" ht="15" hidden="false" customHeight="false" outlineLevel="0" collapsed="false">
      <c r="A39" s="4" t="s">
        <v>131</v>
      </c>
      <c r="B39" s="4" t="s">
        <v>132</v>
      </c>
      <c r="C39" s="4" t="s">
        <v>133</v>
      </c>
      <c r="D39" s="5" t="n">
        <v>5</v>
      </c>
      <c r="E39" s="15" t="n">
        <v>5</v>
      </c>
      <c r="F39" s="16" t="n">
        <f aca="false">E39-D39</f>
        <v>0</v>
      </c>
      <c r="G39" s="17"/>
    </row>
    <row r="41" customFormat="false" ht="15" hidden="false" customHeight="false" outlineLevel="0" collapsed="false">
      <c r="A41" s="23" t="s">
        <v>134</v>
      </c>
    </row>
    <row r="42" customFormat="false" ht="15" hidden="false" customHeight="false" outlineLevel="0" collapsed="false">
      <c r="A42" s="23" t="s">
        <v>135</v>
      </c>
    </row>
    <row r="43" customFormat="false" ht="15" hidden="false" customHeight="false" outlineLevel="0" collapsed="false">
      <c r="A43" s="23" t="s">
        <v>136</v>
      </c>
    </row>
    <row r="44" customFormat="false" ht="15" hidden="false" customHeight="false" outlineLevel="0" collapsed="false">
      <c r="A44" s="23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55"/>
  </cols>
  <sheetData>
    <row r="1" customFormat="false" ht="16.1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4" customFormat="false" ht="31.5" hidden="false" customHeight="true" outlineLevel="0" collapsed="false">
      <c r="A4" s="3" t="s">
        <v>140</v>
      </c>
      <c r="B4" s="3" t="s">
        <v>141</v>
      </c>
      <c r="C4" s="3" t="s">
        <v>34</v>
      </c>
      <c r="D4" s="3" t="s">
        <v>142</v>
      </c>
      <c r="E4" s="3" t="s">
        <v>143</v>
      </c>
    </row>
    <row r="5" customFormat="false" ht="15" hidden="false" customHeight="false" outlineLevel="0" collapsed="false">
      <c r="A5" s="4" t="s">
        <v>144</v>
      </c>
      <c r="B5" s="4" t="s">
        <v>145</v>
      </c>
      <c r="C5" s="4" t="s">
        <v>49</v>
      </c>
      <c r="D5" s="15" t="n">
        <v>320</v>
      </c>
      <c r="E5" s="4" t="s">
        <v>146</v>
      </c>
    </row>
    <row r="6" customFormat="false" ht="15" hidden="false" customHeight="false" outlineLevel="0" collapsed="false">
      <c r="A6" s="4" t="s">
        <v>147</v>
      </c>
      <c r="B6" s="4" t="s">
        <v>148</v>
      </c>
      <c r="C6" s="4" t="s">
        <v>49</v>
      </c>
      <c r="D6" s="15" t="n">
        <v>38</v>
      </c>
      <c r="E6" s="4" t="s">
        <v>149</v>
      </c>
    </row>
    <row r="7" customFormat="false" ht="15" hidden="false" customHeight="false" outlineLevel="0" collapsed="false">
      <c r="A7" s="4" t="s">
        <v>150</v>
      </c>
      <c r="B7" s="4" t="s">
        <v>151</v>
      </c>
      <c r="C7" s="4" t="s">
        <v>152</v>
      </c>
      <c r="D7" s="15" t="n">
        <v>28.6</v>
      </c>
      <c r="E7" s="4" t="s">
        <v>153</v>
      </c>
    </row>
    <row r="8" customFormat="false" ht="15" hidden="false" customHeight="false" outlineLevel="0" collapsed="false">
      <c r="A8" s="4" t="s">
        <v>154</v>
      </c>
      <c r="B8" s="4" t="s">
        <v>155</v>
      </c>
      <c r="C8" s="4" t="s">
        <v>49</v>
      </c>
      <c r="D8" s="15" t="n">
        <v>65</v>
      </c>
      <c r="E8" s="4" t="s">
        <v>156</v>
      </c>
    </row>
    <row r="9" customFormat="false" ht="15" hidden="false" customHeight="false" outlineLevel="0" collapsed="false">
      <c r="A9" s="4" t="s">
        <v>157</v>
      </c>
      <c r="B9" s="4" t="s">
        <v>158</v>
      </c>
      <c r="C9" s="4" t="s">
        <v>49</v>
      </c>
      <c r="D9" s="15" t="n">
        <v>80</v>
      </c>
      <c r="E9" s="4" t="s">
        <v>156</v>
      </c>
    </row>
    <row r="10" customFormat="false" ht="15" hidden="false" customHeight="false" outlineLevel="0" collapsed="false">
      <c r="A10" s="4" t="s">
        <v>159</v>
      </c>
      <c r="B10" s="4" t="s">
        <v>160</v>
      </c>
      <c r="C10" s="4" t="s">
        <v>49</v>
      </c>
      <c r="D10" s="15" t="n">
        <v>60</v>
      </c>
      <c r="E10" s="4" t="s">
        <v>156</v>
      </c>
    </row>
    <row r="11" customFormat="false" ht="15" hidden="false" customHeight="false" outlineLevel="0" collapsed="false">
      <c r="A11" s="4" t="s">
        <v>161</v>
      </c>
      <c r="B11" s="4" t="s">
        <v>162</v>
      </c>
      <c r="C11" s="4" t="s">
        <v>49</v>
      </c>
      <c r="D11" s="15" t="n">
        <v>50</v>
      </c>
      <c r="E11" s="4" t="s">
        <v>156</v>
      </c>
    </row>
    <row r="12" customFormat="false" ht="15" hidden="false" customHeight="false" outlineLevel="0" collapsed="false">
      <c r="A12" s="4" t="s">
        <v>163</v>
      </c>
      <c r="B12" s="4" t="s">
        <v>164</v>
      </c>
      <c r="C12" s="4" t="s">
        <v>49</v>
      </c>
      <c r="D12" s="15" t="n">
        <v>50</v>
      </c>
      <c r="E12" s="4" t="s">
        <v>156</v>
      </c>
    </row>
    <row r="13" customFormat="false" ht="15" hidden="false" customHeight="false" outlineLevel="0" collapsed="false">
      <c r="A13" s="4" t="s">
        <v>165</v>
      </c>
      <c r="B13" s="4" t="s">
        <v>166</v>
      </c>
      <c r="C13" s="4" t="s">
        <v>167</v>
      </c>
      <c r="D13" s="15" t="n">
        <v>80.02</v>
      </c>
      <c r="E13" s="4" t="s">
        <v>153</v>
      </c>
    </row>
    <row r="14" customFormat="false" ht="15" hidden="false" customHeight="false" outlineLevel="0" collapsed="false">
      <c r="A14" s="4" t="s">
        <v>168</v>
      </c>
      <c r="B14" s="4" t="s">
        <v>169</v>
      </c>
      <c r="C14" s="4" t="s">
        <v>167</v>
      </c>
      <c r="D14" s="15" t="n">
        <v>54.41</v>
      </c>
      <c r="E14" s="4" t="s">
        <v>153</v>
      </c>
    </row>
    <row r="15" customFormat="false" ht="15" hidden="false" customHeight="false" outlineLevel="0" collapsed="false">
      <c r="A15" s="4" t="s">
        <v>170</v>
      </c>
      <c r="B15" s="4" t="s">
        <v>171</v>
      </c>
      <c r="C15" s="4" t="s">
        <v>167</v>
      </c>
      <c r="D15" s="15" t="n">
        <v>35.96</v>
      </c>
      <c r="E15" s="4" t="s">
        <v>153</v>
      </c>
    </row>
    <row r="16" customFormat="false" ht="15" hidden="false" customHeight="false" outlineLevel="0" collapsed="false">
      <c r="A16" s="4" t="s">
        <v>172</v>
      </c>
      <c r="B16" s="4" t="s">
        <v>173</v>
      </c>
      <c r="C16" s="4" t="s">
        <v>167</v>
      </c>
      <c r="D16" s="15" t="n">
        <v>20.06</v>
      </c>
      <c r="E16" s="4" t="s">
        <v>153</v>
      </c>
    </row>
    <row r="17" customFormat="false" ht="15" hidden="false" customHeight="false" outlineLevel="0" collapsed="false">
      <c r="A17" s="4" t="s">
        <v>174</v>
      </c>
      <c r="B17" s="4" t="s">
        <v>175</v>
      </c>
      <c r="C17" s="4" t="s">
        <v>167</v>
      </c>
      <c r="D17" s="15" t="n">
        <v>7.96</v>
      </c>
      <c r="E17" s="4" t="s">
        <v>153</v>
      </c>
    </row>
    <row r="18" customFormat="false" ht="15" hidden="false" customHeight="false" outlineLevel="0" collapsed="false">
      <c r="A18" s="4" t="s">
        <v>176</v>
      </c>
      <c r="B18" s="4" t="s">
        <v>177</v>
      </c>
      <c r="C18" s="4" t="s">
        <v>178</v>
      </c>
      <c r="D18" s="15" t="n">
        <v>349.9</v>
      </c>
      <c r="E18" s="4" t="s">
        <v>153</v>
      </c>
    </row>
    <row r="19" customFormat="false" ht="15" hidden="false" customHeight="false" outlineLevel="0" collapsed="false">
      <c r="A19" s="4" t="s">
        <v>179</v>
      </c>
      <c r="B19" s="4" t="s">
        <v>180</v>
      </c>
      <c r="C19" s="4" t="s">
        <v>109</v>
      </c>
      <c r="D19" s="15" t="n">
        <v>6.5</v>
      </c>
      <c r="E19" s="4" t="s">
        <v>181</v>
      </c>
    </row>
    <row r="20" customFormat="false" ht="15" hidden="false" customHeight="false" outlineLevel="0" collapsed="false">
      <c r="A20" s="4" t="s">
        <v>182</v>
      </c>
      <c r="B20" s="4" t="s">
        <v>183</v>
      </c>
      <c r="C20" s="4" t="s">
        <v>109</v>
      </c>
      <c r="D20" s="15" t="n">
        <v>7.5</v>
      </c>
      <c r="E20" s="4" t="s">
        <v>156</v>
      </c>
    </row>
    <row r="21" customFormat="false" ht="15" hidden="false" customHeight="false" outlineLevel="0" collapsed="false">
      <c r="A21" s="4" t="s">
        <v>184</v>
      </c>
      <c r="B21" s="4" t="s">
        <v>185</v>
      </c>
      <c r="C21" s="4" t="s">
        <v>113</v>
      </c>
      <c r="D21" s="15" t="n">
        <v>1.14</v>
      </c>
      <c r="E21" s="4" t="s">
        <v>186</v>
      </c>
    </row>
    <row r="22" customFormat="false" ht="15" hidden="false" customHeight="false" outlineLevel="0" collapsed="false">
      <c r="A22" s="4" t="s">
        <v>187</v>
      </c>
      <c r="B22" s="4" t="s">
        <v>188</v>
      </c>
      <c r="C22" s="4" t="s">
        <v>113</v>
      </c>
      <c r="D22" s="15" t="n">
        <v>1.6</v>
      </c>
      <c r="E22" s="4" t="s">
        <v>189</v>
      </c>
    </row>
    <row r="23" customFormat="false" ht="15" hidden="false" customHeight="false" outlineLevel="0" collapsed="false">
      <c r="A23" s="4" t="s">
        <v>190</v>
      </c>
      <c r="B23" s="4" t="s">
        <v>191</v>
      </c>
      <c r="C23" s="4" t="s">
        <v>192</v>
      </c>
      <c r="D23" s="15" t="n">
        <v>55</v>
      </c>
      <c r="E23" s="4" t="s">
        <v>156</v>
      </c>
    </row>
    <row r="24" customFormat="false" ht="15" hidden="false" customHeight="false" outlineLevel="0" collapsed="false">
      <c r="A24" s="4" t="s">
        <v>193</v>
      </c>
      <c r="B24" s="4" t="s">
        <v>194</v>
      </c>
      <c r="C24" s="4" t="s">
        <v>192</v>
      </c>
      <c r="D24" s="15" t="n">
        <v>16</v>
      </c>
      <c r="E24" s="4" t="s">
        <v>156</v>
      </c>
    </row>
    <row r="25" customFormat="false" ht="15" hidden="false" customHeight="false" outlineLevel="0" collapsed="false">
      <c r="A25" s="4" t="s">
        <v>195</v>
      </c>
      <c r="B25" s="4" t="s">
        <v>196</v>
      </c>
      <c r="C25" s="4" t="s">
        <v>113</v>
      </c>
      <c r="D25" s="15" t="n">
        <v>120</v>
      </c>
      <c r="E25" s="4" t="s">
        <v>181</v>
      </c>
    </row>
    <row r="26" customFormat="false" ht="15" hidden="false" customHeight="false" outlineLevel="0" collapsed="false">
      <c r="A26" s="4" t="s">
        <v>197</v>
      </c>
      <c r="B26" s="4" t="s">
        <v>198</v>
      </c>
      <c r="C26" s="4" t="s">
        <v>199</v>
      </c>
      <c r="D26" s="15" t="n">
        <v>45</v>
      </c>
      <c r="E26" s="4" t="s">
        <v>156</v>
      </c>
    </row>
    <row r="27" customFormat="false" ht="15" hidden="false" customHeight="false" outlineLevel="0" collapsed="false">
      <c r="A27" s="4" t="s">
        <v>200</v>
      </c>
      <c r="B27" s="4" t="s">
        <v>201</v>
      </c>
      <c r="C27" s="4" t="s">
        <v>202</v>
      </c>
      <c r="D27" s="15" t="n">
        <v>460</v>
      </c>
      <c r="E27" s="4" t="s">
        <v>203</v>
      </c>
    </row>
    <row r="28" customFormat="false" ht="15" hidden="false" customHeight="false" outlineLevel="0" collapsed="false">
      <c r="A28" s="4" t="s">
        <v>204</v>
      </c>
      <c r="B28" s="4" t="s">
        <v>205</v>
      </c>
      <c r="C28" s="4" t="s">
        <v>206</v>
      </c>
      <c r="D28" s="15" t="n">
        <v>130</v>
      </c>
      <c r="E28" s="4" t="s">
        <v>156</v>
      </c>
    </row>
    <row r="29" customFormat="false" ht="15" hidden="false" customHeight="false" outlineLevel="0" collapsed="false">
      <c r="A29" s="4" t="s">
        <v>207</v>
      </c>
      <c r="B29" s="4" t="s">
        <v>208</v>
      </c>
      <c r="C29" s="4" t="s">
        <v>133</v>
      </c>
      <c r="D29" s="15" t="n">
        <v>75</v>
      </c>
      <c r="E29" s="4" t="s">
        <v>156</v>
      </c>
    </row>
    <row r="30" customFormat="false" ht="15" hidden="false" customHeight="false" outlineLevel="0" collapsed="false">
      <c r="A30" s="4" t="s">
        <v>209</v>
      </c>
      <c r="B30" s="4" t="s">
        <v>210</v>
      </c>
      <c r="C30" s="4" t="s">
        <v>199</v>
      </c>
      <c r="D30" s="15" t="n">
        <v>20</v>
      </c>
      <c r="E30" s="4" t="s">
        <v>156</v>
      </c>
    </row>
    <row r="31" customFormat="false" ht="15" hidden="false" customHeight="false" outlineLevel="0" collapsed="false">
      <c r="A31" s="4" t="s">
        <v>211</v>
      </c>
      <c r="B31" s="4" t="s">
        <v>212</v>
      </c>
      <c r="C31" s="4" t="s">
        <v>213</v>
      </c>
      <c r="D31" s="15" t="n">
        <v>150</v>
      </c>
      <c r="E31" s="4" t="s">
        <v>214</v>
      </c>
    </row>
    <row r="32" customFormat="false" ht="15" hidden="false" customHeight="false" outlineLevel="0" collapsed="false">
      <c r="A32" s="4" t="s">
        <v>215</v>
      </c>
      <c r="B32" s="4" t="s">
        <v>216</v>
      </c>
      <c r="C32" s="4" t="s">
        <v>130</v>
      </c>
      <c r="D32" s="15" t="n">
        <v>300</v>
      </c>
      <c r="E32" s="4" t="s">
        <v>217</v>
      </c>
    </row>
    <row r="33" customFormat="false" ht="15" hidden="false" customHeight="false" outlineLevel="0" collapsed="false">
      <c r="A33" s="4" t="s">
        <v>218</v>
      </c>
      <c r="B33" s="4" t="s">
        <v>219</v>
      </c>
      <c r="C33" s="4" t="s">
        <v>206</v>
      </c>
      <c r="D33" s="15" t="n">
        <v>130</v>
      </c>
      <c r="E33" s="4" t="s">
        <v>220</v>
      </c>
    </row>
    <row r="34" customFormat="false" ht="15" hidden="false" customHeight="false" outlineLevel="0" collapsed="false">
      <c r="A34" s="4" t="s">
        <v>221</v>
      </c>
      <c r="B34" s="4" t="s">
        <v>222</v>
      </c>
      <c r="C34" s="4" t="s">
        <v>206</v>
      </c>
      <c r="D34" s="15" t="n">
        <v>80</v>
      </c>
      <c r="E34" s="4" t="s">
        <v>223</v>
      </c>
    </row>
    <row r="35" customFormat="false" ht="15" hidden="false" customHeight="false" outlineLevel="0" collapsed="false">
      <c r="A35" s="4" t="s">
        <v>224</v>
      </c>
      <c r="B35" s="4" t="s">
        <v>225</v>
      </c>
      <c r="C35" s="4" t="s">
        <v>206</v>
      </c>
      <c r="D35" s="15" t="n">
        <v>100</v>
      </c>
      <c r="E35" s="4" t="s">
        <v>181</v>
      </c>
    </row>
    <row r="36" customFormat="false" ht="15" hidden="false" customHeight="false" outlineLevel="0" collapsed="false">
      <c r="A36" s="4" t="s">
        <v>226</v>
      </c>
      <c r="B36" s="4" t="s">
        <v>227</v>
      </c>
      <c r="C36" s="4" t="s">
        <v>206</v>
      </c>
      <c r="D36" s="15" t="n">
        <v>80</v>
      </c>
      <c r="E36" s="4" t="s">
        <v>181</v>
      </c>
    </row>
    <row r="37" customFormat="false" ht="15" hidden="false" customHeight="false" outlineLevel="0" collapsed="false">
      <c r="A37" s="4" t="s">
        <v>228</v>
      </c>
      <c r="B37" s="4" t="s">
        <v>229</v>
      </c>
      <c r="C37" s="4" t="s">
        <v>113</v>
      </c>
      <c r="D37" s="15" t="n">
        <v>1000</v>
      </c>
      <c r="E37" s="4" t="s">
        <v>214</v>
      </c>
    </row>
    <row r="38" customFormat="false" ht="15" hidden="false" customHeight="false" outlineLevel="0" collapsed="false">
      <c r="A38" s="4" t="s">
        <v>230</v>
      </c>
      <c r="B38" s="4" t="s">
        <v>231</v>
      </c>
      <c r="C38" s="4" t="s">
        <v>113</v>
      </c>
      <c r="D38" s="15" t="n">
        <v>400</v>
      </c>
      <c r="E38" s="4" t="s">
        <v>214</v>
      </c>
    </row>
    <row r="39" customFormat="false" ht="15" hidden="false" customHeight="false" outlineLevel="0" collapsed="false">
      <c r="A39" s="4" t="s">
        <v>232</v>
      </c>
      <c r="B39" s="4" t="s">
        <v>233</v>
      </c>
      <c r="C39" s="4" t="s">
        <v>192</v>
      </c>
      <c r="D39" s="15" t="n">
        <v>95</v>
      </c>
      <c r="E39" s="4" t="s">
        <v>234</v>
      </c>
    </row>
    <row r="40" customFormat="false" ht="15" hidden="false" customHeight="false" outlineLevel="0" collapsed="false">
      <c r="A40" s="4" t="s">
        <v>235</v>
      </c>
      <c r="B40" s="4" t="s">
        <v>236</v>
      </c>
      <c r="C40" s="4" t="s">
        <v>113</v>
      </c>
      <c r="D40" s="15" t="n">
        <v>32</v>
      </c>
      <c r="E40" s="4" t="s">
        <v>237</v>
      </c>
    </row>
    <row r="41" customFormat="false" ht="15" hidden="false" customHeight="false" outlineLevel="0" collapsed="false">
      <c r="A41" s="4" t="s">
        <v>238</v>
      </c>
      <c r="B41" s="4" t="s">
        <v>239</v>
      </c>
      <c r="C41" s="4" t="s">
        <v>130</v>
      </c>
      <c r="D41" s="15" t="n">
        <v>900</v>
      </c>
      <c r="E41" s="4" t="s">
        <v>240</v>
      </c>
    </row>
    <row r="42" customFormat="false" ht="15" hidden="false" customHeight="false" outlineLevel="0" collapsed="false">
      <c r="A42" s="4" t="s">
        <v>241</v>
      </c>
      <c r="B42" s="4" t="s">
        <v>242</v>
      </c>
      <c r="C42" s="4" t="s">
        <v>4</v>
      </c>
      <c r="D42" s="15" t="n">
        <v>0.45</v>
      </c>
      <c r="E42" s="4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8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244</v>
      </c>
    </row>
    <row r="2" customFormat="false" ht="15" hidden="false" customHeight="false" outlineLevel="0" collapsed="false">
      <c r="A2" s="2" t="s">
        <v>245</v>
      </c>
    </row>
    <row r="4" customFormat="false" ht="31.5" hidden="false" customHeight="true" outlineLevel="0" collapsed="false">
      <c r="A4" s="3" t="s">
        <v>246</v>
      </c>
      <c r="B4" s="3" t="s">
        <v>247</v>
      </c>
      <c r="C4" s="3" t="s">
        <v>34</v>
      </c>
      <c r="D4" s="3" t="s">
        <v>248</v>
      </c>
      <c r="E4" s="3" t="s">
        <v>249</v>
      </c>
      <c r="F4" s="3" t="s">
        <v>250</v>
      </c>
      <c r="G4" s="3" t="s">
        <v>251</v>
      </c>
    </row>
    <row r="5" customFormat="false" ht="15" hidden="false" customHeight="false" outlineLevel="0" collapsed="false">
      <c r="A5" s="13" t="s">
        <v>252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n">
        <v>1</v>
      </c>
      <c r="B6" s="4" t="s">
        <v>253</v>
      </c>
      <c r="C6" s="4" t="s">
        <v>49</v>
      </c>
      <c r="D6" s="24" t="n">
        <v>37</v>
      </c>
      <c r="E6" s="5" t="n">
        <f aca="false">Precios!$D$5</f>
        <v>320</v>
      </c>
      <c r="F6" s="5" t="n">
        <f aca="false">D6*E6</f>
        <v>11840</v>
      </c>
      <c r="G6" s="4" t="s">
        <v>254</v>
      </c>
    </row>
    <row r="7" customFormat="false" ht="15" hidden="false" customHeight="false" outlineLevel="0" collapsed="false">
      <c r="A7" s="4" t="n">
        <v>2</v>
      </c>
      <c r="B7" s="4" t="s">
        <v>255</v>
      </c>
      <c r="C7" s="4" t="s">
        <v>49</v>
      </c>
      <c r="D7" s="24" t="n">
        <v>37</v>
      </c>
      <c r="E7" s="5" t="n">
        <f aca="false">Precios!$D$6</f>
        <v>38</v>
      </c>
      <c r="F7" s="5" t="n">
        <f aca="false">D7*E7</f>
        <v>1406</v>
      </c>
      <c r="G7" s="4"/>
    </row>
    <row r="8" customFormat="false" ht="15" hidden="false" customHeight="false" outlineLevel="0" collapsed="false">
      <c r="A8" s="4" t="n">
        <v>3</v>
      </c>
      <c r="B8" s="4" t="s">
        <v>256</v>
      </c>
      <c r="C8" s="4" t="s">
        <v>49</v>
      </c>
      <c r="D8" s="24" t="n">
        <v>9.5</v>
      </c>
      <c r="E8" s="5" t="n">
        <f aca="false">Precios!$D$5</f>
        <v>320</v>
      </c>
      <c r="F8" s="5" t="n">
        <f aca="false">D8*E8</f>
        <v>3040</v>
      </c>
      <c r="G8" s="4" t="s">
        <v>257</v>
      </c>
    </row>
    <row r="9" customFormat="false" ht="15" hidden="false" customHeight="false" outlineLevel="0" collapsed="false">
      <c r="A9" s="4" t="n">
        <v>4</v>
      </c>
      <c r="B9" s="4" t="s">
        <v>258</v>
      </c>
      <c r="C9" s="4" t="s">
        <v>49</v>
      </c>
      <c r="D9" s="24" t="n">
        <v>20</v>
      </c>
      <c r="E9" s="5" t="n">
        <f aca="false">Precios!$D$6</f>
        <v>38</v>
      </c>
      <c r="F9" s="5" t="n">
        <f aca="false">D9*E9</f>
        <v>760</v>
      </c>
      <c r="G9" s="4" t="s">
        <v>259</v>
      </c>
    </row>
    <row r="10" customFormat="false" ht="15" hidden="false" customHeight="false" outlineLevel="0" collapsed="false">
      <c r="A10" s="13" t="s">
        <v>260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4" t="n">
        <v>5</v>
      </c>
      <c r="B11" s="4" t="s">
        <v>261</v>
      </c>
      <c r="C11" s="4" t="s">
        <v>152</v>
      </c>
      <c r="D11" s="24" t="n">
        <v>73</v>
      </c>
      <c r="E11" s="5" t="n">
        <f aca="false">Precios!$D$7</f>
        <v>28.6</v>
      </c>
      <c r="F11" s="5" t="n">
        <f aca="false">D11*E11</f>
        <v>2087.8</v>
      </c>
      <c r="G11" s="4" t="s">
        <v>262</v>
      </c>
    </row>
    <row r="12" customFormat="false" ht="15" hidden="false" customHeight="false" outlineLevel="0" collapsed="false">
      <c r="A12" s="4" t="n">
        <v>6</v>
      </c>
      <c r="B12" s="4" t="s">
        <v>263</v>
      </c>
      <c r="C12" s="4" t="s">
        <v>49</v>
      </c>
      <c r="D12" s="24" t="n">
        <v>12.4</v>
      </c>
      <c r="E12" s="5" t="n">
        <f aca="false">Precios!$D$10</f>
        <v>60</v>
      </c>
      <c r="F12" s="5" t="n">
        <f aca="false">D12*E12</f>
        <v>744</v>
      </c>
      <c r="G12" s="4" t="s">
        <v>264</v>
      </c>
    </row>
    <row r="13" customFormat="false" ht="15" hidden="false" customHeight="false" outlineLevel="0" collapsed="false">
      <c r="A13" s="4" t="n">
        <v>7</v>
      </c>
      <c r="B13" s="4" t="s">
        <v>265</v>
      </c>
      <c r="C13" s="4" t="s">
        <v>49</v>
      </c>
      <c r="D13" s="24" t="n">
        <v>3</v>
      </c>
      <c r="E13" s="5" t="n">
        <f aca="false">Precios!$D$8</f>
        <v>65</v>
      </c>
      <c r="F13" s="5" t="n">
        <f aca="false">D13*E13</f>
        <v>195</v>
      </c>
      <c r="G13" s="4" t="s">
        <v>266</v>
      </c>
    </row>
    <row r="14" customFormat="false" ht="15" hidden="false" customHeight="false" outlineLevel="0" collapsed="false">
      <c r="A14" s="4" t="n">
        <v>8</v>
      </c>
      <c r="B14" s="4" t="s">
        <v>267</v>
      </c>
      <c r="C14" s="4" t="s">
        <v>49</v>
      </c>
      <c r="D14" s="24" t="n">
        <v>0.2</v>
      </c>
      <c r="E14" s="5" t="n">
        <f aca="false">Precios!$D$9</f>
        <v>80</v>
      </c>
      <c r="F14" s="5" t="n">
        <f aca="false">D14*E14</f>
        <v>16</v>
      </c>
      <c r="G14" s="4"/>
    </row>
    <row r="15" customFormat="false" ht="15" hidden="false" customHeight="false" outlineLevel="0" collapsed="false">
      <c r="A15" s="4" t="n">
        <v>9</v>
      </c>
      <c r="B15" s="4" t="s">
        <v>268</v>
      </c>
      <c r="C15" s="4" t="s">
        <v>49</v>
      </c>
      <c r="D15" s="24" t="n">
        <v>1.2</v>
      </c>
      <c r="E15" s="5" t="n">
        <f aca="false">Precios!$D$11</f>
        <v>50</v>
      </c>
      <c r="F15" s="5" t="n">
        <f aca="false">D15*E15</f>
        <v>60</v>
      </c>
      <c r="G15" s="4"/>
    </row>
    <row r="16" customFormat="false" ht="15" hidden="false" customHeight="false" outlineLevel="0" collapsed="false">
      <c r="A16" s="4" t="n">
        <v>10</v>
      </c>
      <c r="B16" s="4" t="s">
        <v>269</v>
      </c>
      <c r="C16" s="4" t="s">
        <v>49</v>
      </c>
      <c r="D16" s="24" t="n">
        <v>2.3</v>
      </c>
      <c r="E16" s="5" t="n">
        <f aca="false">Precios!$D$12</f>
        <v>50</v>
      </c>
      <c r="F16" s="5" t="n">
        <f aca="false">D16*E16</f>
        <v>115</v>
      </c>
      <c r="G16" s="4"/>
    </row>
    <row r="17" customFormat="false" ht="15" hidden="false" customHeight="false" outlineLevel="0" collapsed="false">
      <c r="A17" s="13" t="s">
        <v>270</v>
      </c>
      <c r="B17" s="14"/>
      <c r="C17" s="14"/>
      <c r="D17" s="14"/>
      <c r="E17" s="14"/>
      <c r="F17" s="14"/>
      <c r="G17" s="14"/>
    </row>
    <row r="18" customFormat="false" ht="15" hidden="false" customHeight="false" outlineLevel="0" collapsed="false">
      <c r="A18" s="4" t="n">
        <v>11</v>
      </c>
      <c r="B18" s="4" t="s">
        <v>166</v>
      </c>
      <c r="C18" s="4" t="s">
        <v>167</v>
      </c>
      <c r="D18" s="24" t="n">
        <v>72</v>
      </c>
      <c r="E18" s="5" t="n">
        <f aca="false">Precios!$D$13</f>
        <v>80.02</v>
      </c>
      <c r="F18" s="5" t="n">
        <f aca="false">D18*E18</f>
        <v>5761.44</v>
      </c>
      <c r="G18" s="4" t="s">
        <v>271</v>
      </c>
    </row>
    <row r="19" customFormat="false" ht="15" hidden="false" customHeight="false" outlineLevel="0" collapsed="false">
      <c r="A19" s="4" t="n">
        <v>12</v>
      </c>
      <c r="B19" s="4" t="s">
        <v>169</v>
      </c>
      <c r="C19" s="4" t="s">
        <v>167</v>
      </c>
      <c r="D19" s="24" t="n">
        <v>207</v>
      </c>
      <c r="E19" s="5" t="n">
        <f aca="false">Precios!$D$14</f>
        <v>54.41</v>
      </c>
      <c r="F19" s="5" t="n">
        <f aca="false">D19*E19</f>
        <v>11262.87</v>
      </c>
      <c r="G19" s="4" t="s">
        <v>272</v>
      </c>
    </row>
    <row r="20" customFormat="false" ht="15" hidden="false" customHeight="false" outlineLevel="0" collapsed="false">
      <c r="A20" s="4" t="n">
        <v>13</v>
      </c>
      <c r="B20" s="4" t="s">
        <v>171</v>
      </c>
      <c r="C20" s="4" t="s">
        <v>167</v>
      </c>
      <c r="D20" s="24" t="n">
        <v>179</v>
      </c>
      <c r="E20" s="5" t="n">
        <f aca="false">Precios!$D$15</f>
        <v>35.96</v>
      </c>
      <c r="F20" s="5" t="n">
        <f aca="false">D20*E20</f>
        <v>6436.84</v>
      </c>
      <c r="G20" s="4" t="s">
        <v>273</v>
      </c>
    </row>
    <row r="21" customFormat="false" ht="15" hidden="false" customHeight="false" outlineLevel="0" collapsed="false">
      <c r="A21" s="4" t="n">
        <v>14</v>
      </c>
      <c r="B21" s="4" t="s">
        <v>173</v>
      </c>
      <c r="C21" s="4" t="s">
        <v>167</v>
      </c>
      <c r="D21" s="24" t="n">
        <v>134</v>
      </c>
      <c r="E21" s="5" t="n">
        <f aca="false">Precios!$D$16</f>
        <v>20.06</v>
      </c>
      <c r="F21" s="5" t="n">
        <f aca="false">D21*E21</f>
        <v>2688.04</v>
      </c>
      <c r="G21" s="4" t="s">
        <v>274</v>
      </c>
    </row>
    <row r="22" customFormat="false" ht="15" hidden="false" customHeight="false" outlineLevel="0" collapsed="false">
      <c r="A22" s="4" t="n">
        <v>15</v>
      </c>
      <c r="B22" s="4" t="s">
        <v>175</v>
      </c>
      <c r="C22" s="4" t="s">
        <v>167</v>
      </c>
      <c r="D22" s="24" t="n">
        <v>15</v>
      </c>
      <c r="E22" s="5" t="n">
        <f aca="false">Precios!$D$17</f>
        <v>7.96</v>
      </c>
      <c r="F22" s="5" t="n">
        <f aca="false">D22*E22</f>
        <v>119.4</v>
      </c>
      <c r="G22" s="4" t="s">
        <v>275</v>
      </c>
    </row>
    <row r="23" customFormat="false" ht="15" hidden="false" customHeight="false" outlineLevel="0" collapsed="false">
      <c r="A23" s="4" t="n">
        <v>16</v>
      </c>
      <c r="B23" s="4" t="s">
        <v>276</v>
      </c>
      <c r="C23" s="4" t="s">
        <v>178</v>
      </c>
      <c r="D23" s="24" t="n">
        <v>2</v>
      </c>
      <c r="E23" s="5" t="n">
        <f aca="false">Precios!$D$18</f>
        <v>349.9</v>
      </c>
      <c r="F23" s="5" t="n">
        <f aca="false">D23*E23</f>
        <v>699.8</v>
      </c>
      <c r="G23" s="4" t="s">
        <v>277</v>
      </c>
    </row>
    <row r="24" customFormat="false" ht="15" hidden="false" customHeight="false" outlineLevel="0" collapsed="false">
      <c r="A24" s="13" t="s">
        <v>278</v>
      </c>
      <c r="B24" s="14"/>
      <c r="C24" s="14"/>
      <c r="D24" s="14"/>
      <c r="E24" s="14"/>
      <c r="F24" s="14"/>
      <c r="G24" s="14"/>
    </row>
    <row r="25" customFormat="false" ht="15" hidden="false" customHeight="false" outlineLevel="0" collapsed="false">
      <c r="A25" s="4" t="n">
        <v>17</v>
      </c>
      <c r="B25" s="4" t="s">
        <v>279</v>
      </c>
      <c r="C25" s="4" t="s">
        <v>109</v>
      </c>
      <c r="D25" s="24" t="n">
        <v>58</v>
      </c>
      <c r="E25" s="5" t="n">
        <f aca="false">Precios!$D$19</f>
        <v>6.5</v>
      </c>
      <c r="F25" s="5" t="n">
        <f aca="false">D25*E25</f>
        <v>377</v>
      </c>
      <c r="G25" s="4" t="s">
        <v>280</v>
      </c>
    </row>
    <row r="26" customFormat="false" ht="15" hidden="false" customHeight="false" outlineLevel="0" collapsed="false">
      <c r="A26" s="4" t="n">
        <v>18</v>
      </c>
      <c r="B26" s="4" t="s">
        <v>281</v>
      </c>
      <c r="C26" s="4" t="s">
        <v>109</v>
      </c>
      <c r="D26" s="24" t="n">
        <v>35</v>
      </c>
      <c r="E26" s="5" t="n">
        <f aca="false">Precios!$D$20</f>
        <v>7.5</v>
      </c>
      <c r="F26" s="5" t="n">
        <f aca="false">D26*E26</f>
        <v>262.5</v>
      </c>
      <c r="G26" s="4" t="s">
        <v>282</v>
      </c>
    </row>
    <row r="27" customFormat="false" ht="15" hidden="false" customHeight="false" outlineLevel="0" collapsed="false">
      <c r="A27" s="4" t="n">
        <v>19</v>
      </c>
      <c r="B27" s="4" t="s">
        <v>283</v>
      </c>
      <c r="C27" s="4" t="s">
        <v>113</v>
      </c>
      <c r="D27" s="24" t="n">
        <v>2150</v>
      </c>
      <c r="E27" s="5" t="n">
        <f aca="false">Precios!$D$22</f>
        <v>1.6</v>
      </c>
      <c r="F27" s="5" t="n">
        <f aca="false">D27*E27</f>
        <v>3440</v>
      </c>
      <c r="G27" s="4" t="s">
        <v>284</v>
      </c>
    </row>
    <row r="28" customFormat="false" ht="15" hidden="false" customHeight="false" outlineLevel="0" collapsed="false">
      <c r="A28" s="4" t="n">
        <v>20</v>
      </c>
      <c r="B28" s="4" t="s">
        <v>285</v>
      </c>
      <c r="C28" s="4" t="s">
        <v>113</v>
      </c>
      <c r="D28" s="24" t="n">
        <v>1805</v>
      </c>
      <c r="E28" s="5" t="n">
        <f aca="false">Precios!$D$21</f>
        <v>1.14</v>
      </c>
      <c r="F28" s="5" t="n">
        <f aca="false">D28*E28</f>
        <v>2057.7</v>
      </c>
      <c r="G28" s="4" t="s">
        <v>286</v>
      </c>
    </row>
    <row r="29" customFormat="false" ht="15" hidden="false" customHeight="false" outlineLevel="0" collapsed="false">
      <c r="A29" s="4" t="n">
        <v>21</v>
      </c>
      <c r="B29" s="4" t="s">
        <v>287</v>
      </c>
      <c r="C29" s="4" t="s">
        <v>192</v>
      </c>
      <c r="D29" s="24" t="n">
        <v>3</v>
      </c>
      <c r="E29" s="5" t="n">
        <f aca="false">Precios!$D$23</f>
        <v>55</v>
      </c>
      <c r="F29" s="5" t="n">
        <f aca="false">D29*E29</f>
        <v>165</v>
      </c>
      <c r="G29" s="4" t="s">
        <v>288</v>
      </c>
    </row>
    <row r="30" customFormat="false" ht="15" hidden="false" customHeight="false" outlineLevel="0" collapsed="false">
      <c r="A30" s="4" t="n">
        <v>22</v>
      </c>
      <c r="B30" s="4" t="s">
        <v>289</v>
      </c>
      <c r="C30" s="4" t="s">
        <v>192</v>
      </c>
      <c r="D30" s="24" t="n">
        <v>2</v>
      </c>
      <c r="E30" s="5" t="n">
        <f aca="false">Precios!$D$24</f>
        <v>16</v>
      </c>
      <c r="F30" s="5" t="n">
        <f aca="false">D30*E30</f>
        <v>32</v>
      </c>
      <c r="G30" s="4" t="s">
        <v>290</v>
      </c>
    </row>
    <row r="31" customFormat="false" ht="15" hidden="false" customHeight="false" outlineLevel="0" collapsed="false">
      <c r="A31" s="4" t="n">
        <v>23</v>
      </c>
      <c r="B31" s="4" t="s">
        <v>291</v>
      </c>
      <c r="C31" s="4" t="s">
        <v>113</v>
      </c>
      <c r="D31" s="24" t="n">
        <v>1</v>
      </c>
      <c r="E31" s="5" t="n">
        <f aca="false">Precios!$D$25</f>
        <v>120</v>
      </c>
      <c r="F31" s="5" t="n">
        <f aca="false">D31*E31</f>
        <v>120</v>
      </c>
      <c r="G31" s="4" t="s">
        <v>292</v>
      </c>
    </row>
    <row r="32" customFormat="false" ht="15" hidden="false" customHeight="false" outlineLevel="0" collapsed="false">
      <c r="A32" s="4" t="n">
        <v>24</v>
      </c>
      <c r="B32" s="4" t="s">
        <v>293</v>
      </c>
      <c r="C32" s="4" t="s">
        <v>199</v>
      </c>
      <c r="D32" s="24" t="n">
        <v>4</v>
      </c>
      <c r="E32" s="5" t="n">
        <f aca="false">Precios!$D$26</f>
        <v>45</v>
      </c>
      <c r="F32" s="5" t="n">
        <f aca="false">D32*E32</f>
        <v>180</v>
      </c>
      <c r="G32" s="4"/>
    </row>
    <row r="33" customFormat="false" ht="15" hidden="false" customHeight="false" outlineLevel="0" collapsed="false">
      <c r="E33" s="7" t="s">
        <v>25</v>
      </c>
      <c r="F33" s="8" t="n">
        <f aca="false">SUM(F5:F32)</f>
        <v>53866.39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/>
    </row>
    <row r="4" customFormat="false" ht="31.5" hidden="false" customHeight="true" outlineLevel="0" collapsed="false">
      <c r="A4" s="3" t="s">
        <v>246</v>
      </c>
      <c r="B4" s="3" t="s">
        <v>2</v>
      </c>
      <c r="C4" s="3" t="s">
        <v>34</v>
      </c>
      <c r="D4" s="3" t="s">
        <v>248</v>
      </c>
      <c r="E4" s="3" t="s">
        <v>249</v>
      </c>
      <c r="F4" s="3" t="s">
        <v>250</v>
      </c>
      <c r="G4" s="3" t="s">
        <v>295</v>
      </c>
    </row>
    <row r="5" customFormat="false" ht="15" hidden="false" customHeight="false" outlineLevel="0" collapsed="false">
      <c r="A5" s="4" t="n">
        <v>1</v>
      </c>
      <c r="B5" s="4" t="s">
        <v>296</v>
      </c>
      <c r="C5" s="4" t="s">
        <v>202</v>
      </c>
      <c r="D5" s="24" t="n">
        <v>5</v>
      </c>
      <c r="E5" s="5" t="n">
        <f aca="false">Precios!$D$27</f>
        <v>460</v>
      </c>
      <c r="F5" s="5" t="n">
        <f aca="false">D5*E5</f>
        <v>2300</v>
      </c>
      <c r="G5" s="4" t="s">
        <v>297</v>
      </c>
    </row>
    <row r="6" customFormat="false" ht="15" hidden="false" customHeight="false" outlineLevel="0" collapsed="false">
      <c r="A6" s="4" t="n">
        <v>2</v>
      </c>
      <c r="B6" s="4" t="s">
        <v>298</v>
      </c>
      <c r="C6" s="4" t="s">
        <v>206</v>
      </c>
      <c r="D6" s="24" t="n">
        <v>9</v>
      </c>
      <c r="E6" s="5" t="n">
        <f aca="false">Precios!$D$28</f>
        <v>130</v>
      </c>
      <c r="F6" s="5" t="n">
        <f aca="false">D6*E6</f>
        <v>1170</v>
      </c>
      <c r="G6" s="4" t="s">
        <v>299</v>
      </c>
    </row>
    <row r="7" customFormat="false" ht="15" hidden="false" customHeight="false" outlineLevel="0" collapsed="false">
      <c r="A7" s="4" t="n">
        <v>3</v>
      </c>
      <c r="B7" s="4" t="s">
        <v>132</v>
      </c>
      <c r="C7" s="4" t="s">
        <v>133</v>
      </c>
      <c r="D7" s="24" t="n">
        <v>5</v>
      </c>
      <c r="E7" s="5" t="n">
        <f aca="false">Precios!$D$29</f>
        <v>75</v>
      </c>
      <c r="F7" s="5" t="n">
        <f aca="false">D7*E7</f>
        <v>375</v>
      </c>
      <c r="G7" s="4" t="s">
        <v>300</v>
      </c>
    </row>
    <row r="8" customFormat="false" ht="15" hidden="false" customHeight="false" outlineLevel="0" collapsed="false">
      <c r="A8" s="4" t="n">
        <v>4</v>
      </c>
      <c r="B8" s="4" t="s">
        <v>301</v>
      </c>
      <c r="C8" s="4" t="s">
        <v>199</v>
      </c>
      <c r="D8" s="24" t="n">
        <v>20</v>
      </c>
      <c r="E8" s="5" t="n">
        <f aca="false">Precios!$D$30</f>
        <v>20</v>
      </c>
      <c r="F8" s="5" t="n">
        <f aca="false">D8*E8</f>
        <v>400</v>
      </c>
      <c r="G8" s="4"/>
    </row>
    <row r="9" customFormat="false" ht="15" hidden="false" customHeight="false" outlineLevel="0" collapsed="false">
      <c r="A9" s="4" t="n">
        <v>5</v>
      </c>
      <c r="B9" s="4" t="s">
        <v>302</v>
      </c>
      <c r="C9" s="4" t="s">
        <v>130</v>
      </c>
      <c r="D9" s="25" t="n">
        <v>1</v>
      </c>
      <c r="E9" s="15" t="n">
        <v>300</v>
      </c>
      <c r="F9" s="5" t="n">
        <f aca="false">D9*E9</f>
        <v>300</v>
      </c>
      <c r="G9" s="4"/>
    </row>
    <row r="10" customFormat="false" ht="15" hidden="false" customHeight="false" outlineLevel="0" collapsed="false">
      <c r="A10" s="4" t="n">
        <v>6</v>
      </c>
      <c r="B10" s="4" t="s">
        <v>303</v>
      </c>
      <c r="C10" s="4" t="s">
        <v>130</v>
      </c>
      <c r="D10" s="25" t="n">
        <v>1</v>
      </c>
      <c r="E10" s="15" t="n">
        <v>300</v>
      </c>
      <c r="F10" s="5" t="n">
        <f aca="false">D10*E10</f>
        <v>300</v>
      </c>
      <c r="G10" s="4" t="s">
        <v>304</v>
      </c>
    </row>
    <row r="11" customFormat="false" ht="15" hidden="false" customHeight="false" outlineLevel="0" collapsed="false">
      <c r="E11" s="7" t="s">
        <v>25</v>
      </c>
      <c r="F11" s="8" t="n">
        <f aca="false">SUM(F5:F10)</f>
        <v>4845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6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2"/>
    <col collapsed="false" customWidth="true" hidden="false" outlineLevel="0" max="13" min="13" style="0" width="20"/>
    <col collapsed="false" customWidth="true" hidden="false" outlineLevel="0" max="14" min="14" style="0" width="10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1" t="s">
        <v>305</v>
      </c>
    </row>
    <row r="2" customFormat="false" ht="15" hidden="false" customHeight="false" outlineLevel="0" collapsed="false">
      <c r="A2" s="2" t="s">
        <v>306</v>
      </c>
    </row>
    <row r="3" customFormat="false" ht="15" hidden="false" customHeight="false" outlineLevel="0" collapsed="false">
      <c r="M3" s="9" t="s">
        <v>307</v>
      </c>
      <c r="N3" s="26" t="n">
        <v>36000</v>
      </c>
      <c r="O3" s="9" t="s">
        <v>308</v>
      </c>
      <c r="P3" s="27" t="n">
        <f aca="false">N3/SUMPRODUCT(D5:D33,K5:K33)</f>
        <v>1.14206676014695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309</v>
      </c>
      <c r="E4" s="3" t="s">
        <v>310</v>
      </c>
      <c r="F4" s="3" t="s">
        <v>250</v>
      </c>
      <c r="G4" s="3"/>
      <c r="H4" s="3" t="s">
        <v>311</v>
      </c>
      <c r="I4" s="3" t="s">
        <v>312</v>
      </c>
      <c r="J4" s="3" t="s">
        <v>295</v>
      </c>
      <c r="K4" s="3" t="s">
        <v>313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5" t="n">
        <f aca="false">Metrados!$E$6</f>
        <v>170</v>
      </c>
      <c r="E5" s="5" t="n">
        <f aca="false">ROUND(K5*$P$3,2)</f>
        <v>2.28</v>
      </c>
      <c r="F5" s="5" t="n">
        <f aca="false">D5*E5</f>
        <v>387.6</v>
      </c>
      <c r="H5" s="24" t="n">
        <v>170</v>
      </c>
      <c r="I5" s="28" t="n">
        <f aca="false">D5/H5</f>
        <v>1</v>
      </c>
      <c r="J5" s="4"/>
      <c r="K5" s="15" t="n">
        <v>2</v>
      </c>
    </row>
    <row r="6" customFormat="false" ht="15" hidden="false" customHeight="false" outlineLevel="0" collapsed="false">
      <c r="A6" s="4" t="s">
        <v>44</v>
      </c>
      <c r="B6" s="4" t="s">
        <v>45</v>
      </c>
      <c r="C6" s="4" t="s">
        <v>42</v>
      </c>
      <c r="D6" s="5" t="n">
        <f aca="false">Metrados!$E$7</f>
        <v>170</v>
      </c>
      <c r="E6" s="5" t="n">
        <f aca="false">ROUND(K6*$P$3,2)</f>
        <v>3.43</v>
      </c>
      <c r="F6" s="5" t="n">
        <f aca="false">D6*E6</f>
        <v>583.1</v>
      </c>
      <c r="H6" s="24" t="n">
        <v>170</v>
      </c>
      <c r="I6" s="28" t="n">
        <f aca="false">D6/H6</f>
        <v>1</v>
      </c>
      <c r="J6" s="4"/>
      <c r="K6" s="15" t="n">
        <v>3</v>
      </c>
    </row>
    <row r="7" customFormat="false" ht="15" hidden="false" customHeight="false" outlineLevel="0" collapsed="false">
      <c r="A7" s="4" t="s">
        <v>47</v>
      </c>
      <c r="B7" s="4" t="s">
        <v>314</v>
      </c>
      <c r="C7" s="4" t="s">
        <v>49</v>
      </c>
      <c r="D7" s="5" t="n">
        <f aca="false">Metrados!$E$9+Metrados!$E$10</f>
        <v>120</v>
      </c>
      <c r="E7" s="5" t="n">
        <f aca="false">ROUND(K7*$P$3,2)</f>
        <v>36.55</v>
      </c>
      <c r="F7" s="5" t="n">
        <f aca="false">D7*E7</f>
        <v>4386</v>
      </c>
      <c r="H7" s="4" t="s">
        <v>315</v>
      </c>
      <c r="I7" s="28" t="n">
        <v>0</v>
      </c>
      <c r="J7" s="4" t="s">
        <v>316</v>
      </c>
      <c r="K7" s="15" t="n">
        <v>32</v>
      </c>
    </row>
    <row r="8" customFormat="false" ht="15" hidden="false" customHeight="false" outlineLevel="0" collapsed="false">
      <c r="A8" s="4" t="s">
        <v>51</v>
      </c>
      <c r="B8" s="4" t="s">
        <v>317</v>
      </c>
      <c r="C8" s="4" t="s">
        <v>42</v>
      </c>
      <c r="D8" s="15" t="n">
        <v>75.2</v>
      </c>
      <c r="E8" s="5" t="n">
        <f aca="false">ROUND(K8*$P$3,2)</f>
        <v>6.85</v>
      </c>
      <c r="F8" s="5" t="n">
        <f aca="false">D8*E8</f>
        <v>515.12</v>
      </c>
      <c r="H8" s="24" t="n">
        <v>25</v>
      </c>
      <c r="I8" s="28" t="n">
        <f aca="false">D8/H8</f>
        <v>3.008</v>
      </c>
      <c r="J8" s="4" t="s">
        <v>318</v>
      </c>
      <c r="K8" s="15" t="n">
        <v>6</v>
      </c>
    </row>
    <row r="9" customFormat="false" ht="15" hidden="false" customHeight="false" outlineLevel="0" collapsed="false">
      <c r="A9" s="4" t="s">
        <v>54</v>
      </c>
      <c r="B9" s="4" t="s">
        <v>319</v>
      </c>
      <c r="C9" s="4" t="s">
        <v>49</v>
      </c>
      <c r="D9" s="5" t="n">
        <f aca="false">Metrados!$E$11</f>
        <v>13.3</v>
      </c>
      <c r="E9" s="5" t="n">
        <f aca="false">ROUND(K9*$P$3,2)</f>
        <v>51.39</v>
      </c>
      <c r="F9" s="5" t="n">
        <f aca="false">D9*E9</f>
        <v>683.487</v>
      </c>
      <c r="H9" s="24" t="n">
        <v>4</v>
      </c>
      <c r="I9" s="28" t="n">
        <f aca="false">D9/H9</f>
        <v>3.325</v>
      </c>
      <c r="J9" s="4"/>
      <c r="K9" s="15" t="n">
        <v>45</v>
      </c>
    </row>
    <row r="10" customFormat="false" ht="15" hidden="false" customHeight="false" outlineLevel="0" collapsed="false">
      <c r="A10" s="4" t="s">
        <v>57</v>
      </c>
      <c r="B10" s="4" t="s">
        <v>320</v>
      </c>
      <c r="C10" s="4" t="s">
        <v>49</v>
      </c>
      <c r="D10" s="5" t="n">
        <f aca="false">Metrados!$E$12</f>
        <v>70.5</v>
      </c>
      <c r="E10" s="5" t="n">
        <f aca="false">ROUND(K10*$P$3,2)</f>
        <v>34.26</v>
      </c>
      <c r="F10" s="5" t="n">
        <f aca="false">D10*E10</f>
        <v>2415.33</v>
      </c>
      <c r="H10" s="24" t="n">
        <v>8</v>
      </c>
      <c r="I10" s="28" t="n">
        <f aca="false">D10/H10</f>
        <v>8.8125</v>
      </c>
      <c r="J10" s="4" t="s">
        <v>321</v>
      </c>
      <c r="K10" s="15" t="n">
        <v>30</v>
      </c>
    </row>
    <row r="11" customFormat="false" ht="15" hidden="false" customHeight="false" outlineLevel="0" collapsed="false">
      <c r="A11" s="4" t="s">
        <v>64</v>
      </c>
      <c r="B11" s="4" t="s">
        <v>322</v>
      </c>
      <c r="C11" s="4" t="s">
        <v>42</v>
      </c>
      <c r="D11" s="5" t="n">
        <f aca="false">Metrados!$E$15</f>
        <v>50</v>
      </c>
      <c r="E11" s="5" t="n">
        <f aca="false">ROUND(K11*$P$3,2)</f>
        <v>17.13</v>
      </c>
      <c r="F11" s="5" t="n">
        <f aca="false">D11*E11</f>
        <v>856.5</v>
      </c>
      <c r="H11" s="24" t="n">
        <v>35</v>
      </c>
      <c r="I11" s="28" t="n">
        <f aca="false">D11/H11</f>
        <v>1.42857142857143</v>
      </c>
      <c r="J11" s="4"/>
      <c r="K11" s="15" t="n">
        <v>15</v>
      </c>
    </row>
    <row r="12" customFormat="false" ht="15" hidden="false" customHeight="false" outlineLevel="0" collapsed="false">
      <c r="A12" s="4" t="s">
        <v>67</v>
      </c>
      <c r="B12" s="4" t="s">
        <v>323</v>
      </c>
      <c r="C12" s="4" t="s">
        <v>49</v>
      </c>
      <c r="D12" s="5" t="n">
        <f aca="false">Metrados!$E$16</f>
        <v>2.2</v>
      </c>
      <c r="E12" s="5" t="n">
        <f aca="false">ROUND(K12*$P$3,2)</f>
        <v>102.79</v>
      </c>
      <c r="F12" s="5" t="n">
        <f aca="false">D12*E12</f>
        <v>226.138</v>
      </c>
      <c r="H12" s="24" t="n">
        <v>4</v>
      </c>
      <c r="I12" s="28" t="n">
        <f aca="false">D12/H12</f>
        <v>0.55</v>
      </c>
      <c r="J12" s="4"/>
      <c r="K12" s="15" t="n">
        <v>90</v>
      </c>
    </row>
    <row r="13" customFormat="false" ht="15" hidden="false" customHeight="false" outlineLevel="0" collapsed="false">
      <c r="A13" s="4" t="s">
        <v>70</v>
      </c>
      <c r="B13" s="4" t="s">
        <v>324</v>
      </c>
      <c r="C13" s="4" t="s">
        <v>49</v>
      </c>
      <c r="D13" s="5" t="n">
        <f aca="false">Metrados!$E$17</f>
        <v>5.85</v>
      </c>
      <c r="E13" s="5" t="n">
        <f aca="false">ROUND(K13*$P$3,2)</f>
        <v>137.05</v>
      </c>
      <c r="F13" s="5" t="n">
        <f aca="false">D13*E13</f>
        <v>801.7425</v>
      </c>
      <c r="H13" s="24" t="n">
        <v>3</v>
      </c>
      <c r="I13" s="28" t="n">
        <f aca="false">D13/H13</f>
        <v>1.95</v>
      </c>
      <c r="J13" s="4"/>
      <c r="K13" s="15" t="n">
        <v>120</v>
      </c>
    </row>
    <row r="14" customFormat="false" ht="15" hidden="false" customHeight="false" outlineLevel="0" collapsed="false">
      <c r="A14" s="4" t="s">
        <v>73</v>
      </c>
      <c r="B14" s="4" t="s">
        <v>325</v>
      </c>
      <c r="C14" s="4" t="s">
        <v>42</v>
      </c>
      <c r="D14" s="5" t="n">
        <f aca="false">Metrados!$E$18</f>
        <v>78</v>
      </c>
      <c r="E14" s="5" t="n">
        <f aca="false">ROUND(K14*$P$3,2)</f>
        <v>25.13</v>
      </c>
      <c r="F14" s="5" t="n">
        <f aca="false">D14*E14</f>
        <v>1960.14</v>
      </c>
      <c r="H14" s="24" t="n">
        <v>14</v>
      </c>
      <c r="I14" s="28" t="n">
        <f aca="false">D14/H14</f>
        <v>5.57142857142857</v>
      </c>
      <c r="J14" s="4"/>
      <c r="K14" s="15" t="n">
        <v>22</v>
      </c>
    </row>
    <row r="15" customFormat="false" ht="15" hidden="false" customHeight="false" outlineLevel="0" collapsed="false">
      <c r="A15" s="4" t="s">
        <v>326</v>
      </c>
      <c r="B15" s="4" t="s">
        <v>327</v>
      </c>
      <c r="C15" s="4" t="s">
        <v>109</v>
      </c>
      <c r="D15" s="15" t="n">
        <v>823</v>
      </c>
      <c r="E15" s="5" t="n">
        <f aca="false">ROUND(K15*$P$3,2)</f>
        <v>1.26</v>
      </c>
      <c r="F15" s="5" t="n">
        <f aca="false">D15*E15</f>
        <v>1036.98</v>
      </c>
      <c r="H15" s="24" t="n">
        <v>350</v>
      </c>
      <c r="I15" s="28" t="n">
        <f aca="false">D15/H15</f>
        <v>2.35142857142857</v>
      </c>
      <c r="J15" s="4"/>
      <c r="K15" s="15" t="n">
        <v>1.1</v>
      </c>
    </row>
    <row r="16" customFormat="false" ht="15" hidden="false" customHeight="false" outlineLevel="0" collapsed="false">
      <c r="A16" s="4" t="s">
        <v>328</v>
      </c>
      <c r="B16" s="4" t="s">
        <v>329</v>
      </c>
      <c r="C16" s="4" t="s">
        <v>109</v>
      </c>
      <c r="D16" s="15" t="n">
        <v>2097</v>
      </c>
      <c r="E16" s="5" t="n">
        <f aca="false">ROUND(K16*$P$3,2)</f>
        <v>1.26</v>
      </c>
      <c r="F16" s="5" t="n">
        <f aca="false">D16*E16</f>
        <v>2642.22</v>
      </c>
      <c r="H16" s="24" t="n">
        <v>250</v>
      </c>
      <c r="I16" s="28" t="n">
        <f aca="false">D16/H16</f>
        <v>8.388</v>
      </c>
      <c r="J16" s="4"/>
      <c r="K16" s="15" t="n">
        <v>1.1</v>
      </c>
    </row>
    <row r="17" customFormat="false" ht="15" hidden="false" customHeight="false" outlineLevel="0" collapsed="false">
      <c r="A17" s="4" t="s">
        <v>83</v>
      </c>
      <c r="B17" s="4" t="s">
        <v>330</v>
      </c>
      <c r="C17" s="4" t="s">
        <v>42</v>
      </c>
      <c r="D17" s="15" t="n">
        <v>51.9</v>
      </c>
      <c r="E17" s="5" t="n">
        <f aca="false">ROUND(K17*$P$3,2)</f>
        <v>28.55</v>
      </c>
      <c r="F17" s="5" t="n">
        <f aca="false">D17*E17</f>
        <v>1481.745</v>
      </c>
      <c r="H17" s="24" t="n">
        <v>12</v>
      </c>
      <c r="I17" s="28" t="n">
        <f aca="false">D17/H17</f>
        <v>4.325</v>
      </c>
      <c r="J17" s="4" t="s">
        <v>331</v>
      </c>
      <c r="K17" s="15" t="n">
        <v>25</v>
      </c>
    </row>
    <row r="18" customFormat="false" ht="15" hidden="false" customHeight="false" outlineLevel="0" collapsed="false">
      <c r="A18" s="4" t="s">
        <v>86</v>
      </c>
      <c r="B18" s="4" t="s">
        <v>332</v>
      </c>
      <c r="C18" s="4" t="s">
        <v>42</v>
      </c>
      <c r="D18" s="5" t="n">
        <f aca="false">Metrados!$E$23</f>
        <v>7.4</v>
      </c>
      <c r="E18" s="5" t="n">
        <f aca="false">ROUND(K18*$P$3,2)</f>
        <v>5.71</v>
      </c>
      <c r="F18" s="5" t="n">
        <f aca="false">D18*E18</f>
        <v>42.254</v>
      </c>
      <c r="H18" s="24" t="n">
        <v>50</v>
      </c>
      <c r="I18" s="28" t="n">
        <f aca="false">D18/H18</f>
        <v>0.148</v>
      </c>
      <c r="J18" s="4"/>
      <c r="K18" s="15" t="n">
        <v>5</v>
      </c>
    </row>
    <row r="19" customFormat="false" ht="15" hidden="false" customHeight="false" outlineLevel="0" collapsed="false">
      <c r="A19" s="4" t="s">
        <v>77</v>
      </c>
      <c r="B19" s="4" t="s">
        <v>333</v>
      </c>
      <c r="C19" s="4" t="s">
        <v>49</v>
      </c>
      <c r="D19" s="15" t="n">
        <v>33.6</v>
      </c>
      <c r="E19" s="5" t="n">
        <f aca="false">ROUND(K19*$P$3,2)</f>
        <v>45.68</v>
      </c>
      <c r="F19" s="5" t="n">
        <f aca="false">D19*E19</f>
        <v>1534.848</v>
      </c>
      <c r="H19" s="24" t="n">
        <v>33.6</v>
      </c>
      <c r="I19" s="28" t="n">
        <f aca="false">D19/H19</f>
        <v>1</v>
      </c>
      <c r="J19" s="4" t="s">
        <v>334</v>
      </c>
      <c r="K19" s="15" t="n">
        <v>40</v>
      </c>
    </row>
    <row r="20" customFormat="false" ht="15" hidden="false" customHeight="false" outlineLevel="0" collapsed="false">
      <c r="A20" s="4" t="s">
        <v>335</v>
      </c>
      <c r="B20" s="4" t="s">
        <v>336</v>
      </c>
      <c r="C20" s="4" t="s">
        <v>109</v>
      </c>
      <c r="D20" s="15" t="n">
        <v>2646</v>
      </c>
      <c r="E20" s="5" t="n">
        <f aca="false">ROUND(K20*$P$3,2)</f>
        <v>1.48</v>
      </c>
      <c r="F20" s="5" t="n">
        <f aca="false">D20*E20</f>
        <v>3916.08</v>
      </c>
      <c r="H20" s="24" t="n">
        <v>200</v>
      </c>
      <c r="I20" s="28" t="n">
        <f aca="false">D20/H20</f>
        <v>13.23</v>
      </c>
      <c r="J20" s="4" t="s">
        <v>337</v>
      </c>
      <c r="K20" s="15" t="n">
        <v>1.3</v>
      </c>
    </row>
    <row r="21" customFormat="false" ht="15" hidden="false" customHeight="false" outlineLevel="0" collapsed="false">
      <c r="A21" s="4" t="s">
        <v>98</v>
      </c>
      <c r="B21" s="4" t="s">
        <v>338</v>
      </c>
      <c r="C21" s="4" t="s">
        <v>42</v>
      </c>
      <c r="D21" s="5" t="n">
        <f aca="false">Metrados!$E$27</f>
        <v>79.1</v>
      </c>
      <c r="E21" s="5" t="n">
        <f aca="false">ROUND(K21*$P$3,2)</f>
        <v>31.98</v>
      </c>
      <c r="F21" s="5" t="n">
        <f aca="false">D21*E21</f>
        <v>2529.618</v>
      </c>
      <c r="H21" s="24" t="n">
        <v>10</v>
      </c>
      <c r="I21" s="28" t="n">
        <f aca="false">D21/H21</f>
        <v>7.91</v>
      </c>
      <c r="J21" s="4"/>
      <c r="K21" s="15" t="n">
        <v>28</v>
      </c>
    </row>
    <row r="22" customFormat="false" ht="15" hidden="false" customHeight="false" outlineLevel="0" collapsed="false">
      <c r="A22" s="4" t="s">
        <v>95</v>
      </c>
      <c r="B22" s="4" t="s">
        <v>339</v>
      </c>
      <c r="C22" s="4" t="s">
        <v>49</v>
      </c>
      <c r="D22" s="15" t="n">
        <v>8.9</v>
      </c>
      <c r="E22" s="5" t="n">
        <f aca="false">ROUND(K22*$P$3,2)</f>
        <v>68.52</v>
      </c>
      <c r="F22" s="5" t="n">
        <f aca="false">D22*E22</f>
        <v>609.828</v>
      </c>
      <c r="H22" s="24" t="n">
        <v>8.9</v>
      </c>
      <c r="I22" s="28" t="n">
        <f aca="false">D22/H22</f>
        <v>1</v>
      </c>
      <c r="J22" s="4" t="s">
        <v>340</v>
      </c>
      <c r="K22" s="15" t="n">
        <v>60</v>
      </c>
    </row>
    <row r="23" customFormat="false" ht="15" hidden="false" customHeight="false" outlineLevel="0" collapsed="false">
      <c r="A23" s="4" t="s">
        <v>341</v>
      </c>
      <c r="B23" s="4" t="s">
        <v>342</v>
      </c>
      <c r="C23" s="4" t="s">
        <v>109</v>
      </c>
      <c r="D23" s="15" t="n">
        <v>304</v>
      </c>
      <c r="E23" s="5" t="n">
        <f aca="false">ROUND(K23*$P$3,2)</f>
        <v>1.37</v>
      </c>
      <c r="F23" s="5" t="n">
        <f aca="false">D23*E23</f>
        <v>416.48</v>
      </c>
      <c r="H23" s="24" t="n">
        <v>150</v>
      </c>
      <c r="I23" s="28" t="n">
        <f aca="false">D23/H23</f>
        <v>2.02666666666667</v>
      </c>
      <c r="J23" s="4"/>
      <c r="K23" s="15" t="n">
        <v>1.2</v>
      </c>
    </row>
    <row r="24" customFormat="false" ht="15" hidden="false" customHeight="false" outlineLevel="0" collapsed="false">
      <c r="A24" s="4" t="s">
        <v>104</v>
      </c>
      <c r="B24" s="4" t="s">
        <v>343</v>
      </c>
      <c r="C24" s="4" t="s">
        <v>42</v>
      </c>
      <c r="D24" s="5" t="n">
        <f aca="false">Metrados!$E$29</f>
        <v>21.9</v>
      </c>
      <c r="E24" s="5" t="n">
        <f aca="false">ROUND(K24*$P$3,2)</f>
        <v>28.55</v>
      </c>
      <c r="F24" s="5" t="n">
        <f aca="false">D24*E24</f>
        <v>625.245</v>
      </c>
      <c r="H24" s="24" t="n">
        <v>10</v>
      </c>
      <c r="I24" s="28" t="n">
        <f aca="false">D24/H24</f>
        <v>2.19</v>
      </c>
      <c r="J24" s="4"/>
      <c r="K24" s="15" t="n">
        <v>25</v>
      </c>
    </row>
    <row r="25" customFormat="false" ht="15" hidden="false" customHeight="false" outlineLevel="0" collapsed="false">
      <c r="A25" s="4" t="s">
        <v>344</v>
      </c>
      <c r="B25" s="4" t="s">
        <v>345</v>
      </c>
      <c r="C25" s="4" t="s">
        <v>49</v>
      </c>
      <c r="D25" s="15" t="n">
        <v>0.37</v>
      </c>
      <c r="E25" s="5" t="n">
        <f aca="false">ROUND(K25*$P$3,2)</f>
        <v>137.05</v>
      </c>
      <c r="F25" s="5" t="n">
        <f aca="false">D25*E25</f>
        <v>50.7085</v>
      </c>
      <c r="H25" s="24" t="n">
        <v>2</v>
      </c>
      <c r="I25" s="28" t="n">
        <f aca="false">D25/H25</f>
        <v>0.185</v>
      </c>
      <c r="J25" s="4"/>
      <c r="K25" s="15" t="n">
        <v>120</v>
      </c>
    </row>
    <row r="26" customFormat="false" ht="15" hidden="false" customHeight="false" outlineLevel="0" collapsed="false">
      <c r="A26" s="4" t="s">
        <v>111</v>
      </c>
      <c r="B26" s="4" t="s">
        <v>346</v>
      </c>
      <c r="C26" s="4" t="s">
        <v>113</v>
      </c>
      <c r="D26" s="5" t="n">
        <f aca="false">Metrados!$E$31</f>
        <v>8</v>
      </c>
      <c r="E26" s="5" t="n">
        <f aca="false">ROUND(K26*$P$3,2)</f>
        <v>22.84</v>
      </c>
      <c r="F26" s="5" t="n">
        <f aca="false">D26*E26</f>
        <v>182.72</v>
      </c>
      <c r="H26" s="24" t="n">
        <v>16</v>
      </c>
      <c r="I26" s="28" t="n">
        <f aca="false">D26/H26</f>
        <v>0.5</v>
      </c>
      <c r="J26" s="4"/>
      <c r="K26" s="15" t="n">
        <v>20</v>
      </c>
    </row>
    <row r="27" customFormat="false" ht="15" hidden="false" customHeight="false" outlineLevel="0" collapsed="false">
      <c r="A27" s="4" t="s">
        <v>115</v>
      </c>
      <c r="B27" s="4" t="s">
        <v>347</v>
      </c>
      <c r="C27" s="4" t="s">
        <v>42</v>
      </c>
      <c r="D27" s="5" t="n">
        <f aca="false">Metrados!$E$33</f>
        <v>29.8</v>
      </c>
      <c r="E27" s="5" t="n">
        <f aca="false">ROUND(K27*$P$3,2)</f>
        <v>39.97</v>
      </c>
      <c r="F27" s="5" t="n">
        <f aca="false">D27*E27</f>
        <v>1191.106</v>
      </c>
      <c r="H27" s="24" t="n">
        <v>10</v>
      </c>
      <c r="I27" s="28" t="n">
        <f aca="false">D27/H27</f>
        <v>2.98</v>
      </c>
      <c r="J27" s="4"/>
      <c r="K27" s="15" t="n">
        <v>35</v>
      </c>
    </row>
    <row r="28" customFormat="false" ht="15" hidden="false" customHeight="false" outlineLevel="0" collapsed="false">
      <c r="A28" s="4" t="s">
        <v>117</v>
      </c>
      <c r="B28" s="4" t="s">
        <v>348</v>
      </c>
      <c r="C28" s="4" t="s">
        <v>42</v>
      </c>
      <c r="D28" s="5" t="n">
        <f aca="false">Metrados!$E$34</f>
        <v>52.5</v>
      </c>
      <c r="E28" s="5" t="n">
        <f aca="false">ROUND(K28*$P$3,2)</f>
        <v>45.68</v>
      </c>
      <c r="F28" s="5" t="n">
        <f aca="false">D28*E28</f>
        <v>2398.2</v>
      </c>
      <c r="H28" s="24" t="n">
        <v>8</v>
      </c>
      <c r="I28" s="28" t="n">
        <f aca="false">D28/H28</f>
        <v>6.5625</v>
      </c>
      <c r="J28" s="4" t="s">
        <v>349</v>
      </c>
      <c r="K28" s="15" t="n">
        <v>40</v>
      </c>
    </row>
    <row r="29" customFormat="false" ht="15" hidden="false" customHeight="false" outlineLevel="0" collapsed="false">
      <c r="A29" s="4" t="s">
        <v>120</v>
      </c>
      <c r="B29" s="4" t="s">
        <v>350</v>
      </c>
      <c r="C29" s="4" t="s">
        <v>42</v>
      </c>
      <c r="D29" s="5" t="n">
        <f aca="false">Metrados!$E$35</f>
        <v>14.1</v>
      </c>
      <c r="E29" s="5" t="n">
        <f aca="false">ROUND(K29*$P$3,2)</f>
        <v>39.97</v>
      </c>
      <c r="F29" s="5" t="n">
        <f aca="false">D29*E29</f>
        <v>563.577</v>
      </c>
      <c r="H29" s="24" t="n">
        <v>10</v>
      </c>
      <c r="I29" s="28" t="n">
        <f aca="false">D29/H29</f>
        <v>1.41</v>
      </c>
      <c r="J29" s="4"/>
      <c r="K29" s="15" t="n">
        <v>35</v>
      </c>
    </row>
    <row r="30" customFormat="false" ht="15" hidden="false" customHeight="false" outlineLevel="0" collapsed="false">
      <c r="A30" s="4" t="s">
        <v>123</v>
      </c>
      <c r="B30" s="4" t="s">
        <v>351</v>
      </c>
      <c r="C30" s="4" t="s">
        <v>125</v>
      </c>
      <c r="D30" s="5" t="n">
        <f aca="false">Metrados!$E$36</f>
        <v>13.6</v>
      </c>
      <c r="E30" s="5" t="n">
        <f aca="false">ROUND(K30*$P$3,2)</f>
        <v>9.14</v>
      </c>
      <c r="F30" s="5" t="n">
        <f aca="false">D30*E30</f>
        <v>124.304</v>
      </c>
      <c r="H30" s="24" t="n">
        <v>60</v>
      </c>
      <c r="I30" s="28" t="n">
        <f aca="false">D30/H30</f>
        <v>0.226666666666667</v>
      </c>
      <c r="J30" s="4"/>
      <c r="K30" s="15" t="n">
        <v>8</v>
      </c>
    </row>
    <row r="31" customFormat="false" ht="15" hidden="false" customHeight="false" outlineLevel="0" collapsed="false">
      <c r="A31" s="4" t="s">
        <v>128</v>
      </c>
      <c r="B31" s="4" t="s">
        <v>352</v>
      </c>
      <c r="C31" s="4" t="s">
        <v>206</v>
      </c>
      <c r="D31" s="15" t="n">
        <v>14</v>
      </c>
      <c r="E31" s="5" t="n">
        <f aca="false">ROUND(K31*$P$3,2)</f>
        <v>45.68</v>
      </c>
      <c r="F31" s="5" t="n">
        <f aca="false">D31*E31</f>
        <v>639.52</v>
      </c>
      <c r="H31" s="24" t="n">
        <v>14</v>
      </c>
      <c r="I31" s="28" t="n">
        <f aca="false">D31/H31</f>
        <v>1</v>
      </c>
      <c r="J31" s="4" t="s">
        <v>353</v>
      </c>
      <c r="K31" s="15" t="n">
        <v>40</v>
      </c>
    </row>
    <row r="32" customFormat="false" ht="15" hidden="false" customHeight="false" outlineLevel="0" collapsed="false">
      <c r="A32" s="4" t="s">
        <v>354</v>
      </c>
      <c r="B32" s="4" t="s">
        <v>355</v>
      </c>
      <c r="C32" s="4" t="s">
        <v>130</v>
      </c>
      <c r="D32" s="15" t="n">
        <v>1</v>
      </c>
      <c r="E32" s="5" t="n">
        <f aca="false">ROUND(K32*$P$3,2)</f>
        <v>342.62</v>
      </c>
      <c r="F32" s="5" t="n">
        <f aca="false">D32*E32</f>
        <v>342.62</v>
      </c>
      <c r="H32" s="24" t="n">
        <v>1</v>
      </c>
      <c r="I32" s="28" t="n">
        <f aca="false">D32/H32</f>
        <v>1</v>
      </c>
      <c r="J32" s="4"/>
      <c r="K32" s="15" t="n">
        <v>300</v>
      </c>
    </row>
    <row r="33" customFormat="false" ht="15" hidden="false" customHeight="false" outlineLevel="0" collapsed="false">
      <c r="B33" s="4" t="s">
        <v>356</v>
      </c>
      <c r="C33" s="4" t="s">
        <v>130</v>
      </c>
      <c r="D33" s="25" t="n">
        <v>1</v>
      </c>
      <c r="E33" s="5" t="n">
        <f aca="false">ROUND(K33*$P$3,2)</f>
        <v>2855.17</v>
      </c>
      <c r="F33" s="5" t="n">
        <f aca="false">D33*E33</f>
        <v>2855.17</v>
      </c>
      <c r="K33" s="15" t="n">
        <v>2500</v>
      </c>
    </row>
    <row r="34" customFormat="false" ht="15" hidden="false" customHeight="false" outlineLevel="0" collapsed="false">
      <c r="E34" s="7" t="s">
        <v>25</v>
      </c>
      <c r="F34" s="8" t="n">
        <f aca="false">SUM(F5:F33)</f>
        <v>35998.381</v>
      </c>
      <c r="H34" s="7" t="s">
        <v>357</v>
      </c>
      <c r="I34" s="29" t="n">
        <f aca="false">SUM(I5:I32)</f>
        <v>83.0787619047619</v>
      </c>
    </row>
    <row r="35" customFormat="false" ht="15" hidden="false" customHeight="false" outlineLevel="0" collapsed="false">
      <c r="E35" s="30" t="s">
        <v>358</v>
      </c>
      <c r="F35" s="31" t="n">
        <f aca="false">ROUND(F34,-2)</f>
        <v>36000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6.15" hidden="false" customHeight="false" outlineLevel="0" collapsed="false">
      <c r="A1" s="1" t="s">
        <v>359</v>
      </c>
    </row>
    <row r="2" customFormat="false" ht="15" hidden="false" customHeight="false" outlineLevel="0" collapsed="false">
      <c r="A2" s="2" t="s">
        <v>360</v>
      </c>
    </row>
    <row r="4" customFormat="false" ht="31.5" hidden="false" customHeight="true" outlineLevel="0" collapsed="false">
      <c r="A4" s="3" t="s">
        <v>2</v>
      </c>
      <c r="B4" s="3" t="s">
        <v>361</v>
      </c>
      <c r="C4" s="3" t="s">
        <v>362</v>
      </c>
    </row>
    <row r="5" customFormat="false" ht="15" hidden="false" customHeight="false" outlineLevel="0" collapsed="false">
      <c r="A5" s="4" t="s">
        <v>363</v>
      </c>
      <c r="B5" s="28" t="n">
        <f aca="false">'Mano de obra'!$I$34</f>
        <v>83.0787619047619</v>
      </c>
      <c r="C5" s="4" t="s">
        <v>364</v>
      </c>
    </row>
    <row r="6" customFormat="false" ht="15" hidden="false" customHeight="false" outlineLevel="0" collapsed="false">
      <c r="A6" s="4" t="s">
        <v>365</v>
      </c>
      <c r="B6" s="32" t="n">
        <v>1.35</v>
      </c>
      <c r="C6" s="4" t="s">
        <v>366</v>
      </c>
    </row>
    <row r="7" customFormat="false" ht="15" hidden="false" customHeight="false" outlineLevel="0" collapsed="false">
      <c r="A7" s="4" t="s">
        <v>367</v>
      </c>
      <c r="B7" s="33" t="n">
        <v>0.1</v>
      </c>
      <c r="C7" s="4" t="s">
        <v>368</v>
      </c>
    </row>
    <row r="8" customFormat="false" ht="15" hidden="false" customHeight="false" outlineLevel="0" collapsed="false">
      <c r="A8" s="4" t="s">
        <v>369</v>
      </c>
      <c r="B8" s="34" t="n">
        <f aca="false">ROUNDUP(B5/B6*(1+B7),0)</f>
        <v>68</v>
      </c>
      <c r="C8" s="4" t="s">
        <v>370</v>
      </c>
    </row>
    <row r="9" customFormat="false" ht="15" hidden="false" customHeight="false" outlineLevel="0" collapsed="false">
      <c r="A9" s="4" t="s">
        <v>371</v>
      </c>
      <c r="B9" s="28" t="n">
        <f aca="false">B8/6</f>
        <v>11.3333333333333</v>
      </c>
      <c r="C9" s="4" t="s">
        <v>372</v>
      </c>
    </row>
    <row r="10" customFormat="false" ht="15" hidden="false" customHeight="false" outlineLevel="0" collapsed="false">
      <c r="A10" s="4"/>
      <c r="C10" s="4"/>
    </row>
    <row r="11" customFormat="false" ht="15" hidden="false" customHeight="false" outlineLevel="0" collapsed="false">
      <c r="A11" s="30" t="s">
        <v>373</v>
      </c>
      <c r="C11" s="4"/>
    </row>
    <row r="12" customFormat="false" ht="15" hidden="false" customHeight="false" outlineLevel="0" collapsed="false">
      <c r="A12" s="4" t="s">
        <v>374</v>
      </c>
      <c r="B12" s="34" t="n">
        <f aca="false">B8*Precios!$D$33</f>
        <v>8840</v>
      </c>
      <c r="C12" s="4"/>
    </row>
    <row r="13" customFormat="false" ht="15" hidden="false" customHeight="false" outlineLevel="0" collapsed="false">
      <c r="A13" s="4" t="s">
        <v>375</v>
      </c>
      <c r="B13" s="34" t="n">
        <f aca="false">B8*Precios!$D$34</f>
        <v>5440</v>
      </c>
      <c r="C13" s="4"/>
    </row>
    <row r="14" customFormat="false" ht="15" hidden="false" customHeight="false" outlineLevel="0" collapsed="false">
      <c r="A14" s="4" t="s">
        <v>376</v>
      </c>
      <c r="B14" s="34" t="n">
        <f aca="false">6*Precios!$D$34</f>
        <v>480</v>
      </c>
      <c r="C14" s="4" t="s">
        <v>377</v>
      </c>
    </row>
    <row r="15" customFormat="false" ht="15" hidden="false" customHeight="false" outlineLevel="0" collapsed="false">
      <c r="A15" s="4" t="s">
        <v>378</v>
      </c>
      <c r="B15" s="34" t="n">
        <f aca="false">14*Precios!$D$31</f>
        <v>2100</v>
      </c>
      <c r="C15" s="4" t="s">
        <v>379</v>
      </c>
    </row>
    <row r="16" customFormat="false" ht="15" hidden="false" customHeight="false" outlineLevel="0" collapsed="false">
      <c r="A16" s="4" t="s">
        <v>216</v>
      </c>
      <c r="B16" s="34" t="n">
        <f aca="false">Precios!$D$32</f>
        <v>300</v>
      </c>
      <c r="C16" s="4" t="s">
        <v>380</v>
      </c>
    </row>
    <row r="17" customFormat="false" ht="15" hidden="false" customHeight="false" outlineLevel="0" collapsed="false">
      <c r="A17" s="4" t="s">
        <v>381</v>
      </c>
      <c r="B17" s="34" t="n">
        <f aca="false">Precios!$D$37</f>
        <v>1000</v>
      </c>
      <c r="C17" s="4" t="s">
        <v>382</v>
      </c>
    </row>
    <row r="18" customFormat="false" ht="15" hidden="false" customHeight="false" outlineLevel="0" collapsed="false">
      <c r="A18" s="4" t="s">
        <v>383</v>
      </c>
      <c r="B18" s="34" t="n">
        <f aca="false">Precios!$D$38</f>
        <v>400</v>
      </c>
      <c r="C18" s="4" t="s">
        <v>382</v>
      </c>
    </row>
    <row r="19" customFormat="false" ht="15" hidden="false" customHeight="false" outlineLevel="0" collapsed="false">
      <c r="A19" s="4" t="s">
        <v>384</v>
      </c>
      <c r="B19" s="34" t="n">
        <f aca="false">Precios!$D$40*Precios!$D$39</f>
        <v>3040</v>
      </c>
      <c r="C19" s="4" t="s">
        <v>385</v>
      </c>
    </row>
    <row r="20" customFormat="false" ht="15" hidden="false" customHeight="false" outlineLevel="0" collapsed="false">
      <c r="A20" s="4" t="s">
        <v>386</v>
      </c>
      <c r="B20" s="34" t="n">
        <f aca="false">Precios!$D$41</f>
        <v>900</v>
      </c>
      <c r="C20" s="4"/>
    </row>
    <row r="21" customFormat="false" ht="15" hidden="false" customHeight="false" outlineLevel="0" collapsed="false">
      <c r="A21" s="4" t="s">
        <v>387</v>
      </c>
      <c r="B21" s="35" t="n">
        <v>600</v>
      </c>
      <c r="C21" s="4" t="s">
        <v>388</v>
      </c>
    </row>
    <row r="22" customFormat="false" ht="15" hidden="false" customHeight="false" outlineLevel="0" collapsed="false">
      <c r="A22" s="4" t="s">
        <v>389</v>
      </c>
      <c r="B22" s="35" t="n">
        <v>400</v>
      </c>
      <c r="C22" s="4"/>
    </row>
    <row r="23" customFormat="false" ht="15" hidden="false" customHeight="false" outlineLevel="0" collapsed="false">
      <c r="A23" s="4" t="s">
        <v>390</v>
      </c>
      <c r="B23" s="35" t="n">
        <v>600</v>
      </c>
      <c r="C23" s="4" t="s">
        <v>391</v>
      </c>
    </row>
    <row r="24" customFormat="false" ht="15" hidden="false" customHeight="false" outlineLevel="0" collapsed="false">
      <c r="A24" s="7" t="s">
        <v>392</v>
      </c>
      <c r="B24" s="36" t="n">
        <f aca="false">SUM(B12:B23)</f>
        <v>24100</v>
      </c>
      <c r="C24" s="4"/>
    </row>
    <row r="25" customFormat="false" ht="15" hidden="false" customHeight="false" outlineLevel="0" collapsed="false">
      <c r="A25" s="4"/>
      <c r="C25" s="4"/>
    </row>
    <row r="26" customFormat="false" ht="15" hidden="false" customHeight="false" outlineLevel="0" collapsed="false">
      <c r="A26" s="7" t="s">
        <v>393</v>
      </c>
      <c r="B26" s="36" t="n">
        <f aca="false">'Mano de obra'!$F$35</f>
        <v>36000</v>
      </c>
      <c r="C26" s="4" t="s">
        <v>394</v>
      </c>
    </row>
    <row r="27" customFormat="false" ht="15" hidden="false" customHeight="false" outlineLevel="0" collapsed="false">
      <c r="A27" s="7" t="s">
        <v>395</v>
      </c>
      <c r="B27" s="36" t="n">
        <f aca="false">B26-B24</f>
        <v>11900</v>
      </c>
      <c r="C27" s="4" t="s">
        <v>396</v>
      </c>
    </row>
    <row r="28" customFormat="false" ht="15" hidden="false" customHeight="false" outlineLevel="0" collapsed="false">
      <c r="A28" s="4" t="s">
        <v>397</v>
      </c>
      <c r="B28" s="34" t="n">
        <f aca="false">(B17+B18+B19+B20)*Precios!$D$42</f>
        <v>2403</v>
      </c>
      <c r="C28" s="4" t="s">
        <v>398</v>
      </c>
    </row>
    <row r="29" customFormat="false" ht="15" hidden="false" customHeight="false" outlineLevel="0" collapsed="false">
      <c r="A29" s="7" t="s">
        <v>399</v>
      </c>
      <c r="B29" s="36" t="n">
        <f aca="false">B27+B28</f>
        <v>14303</v>
      </c>
      <c r="C29" s="4"/>
    </row>
    <row r="30" customFormat="false" ht="15" hidden="false" customHeight="false" outlineLevel="0" collapsed="false">
      <c r="A30" s="4" t="s">
        <v>400</v>
      </c>
      <c r="B30" s="34" t="n">
        <f aca="false">B29/B9</f>
        <v>1262.02941176471</v>
      </c>
      <c r="C30" s="4" t="s">
        <v>401</v>
      </c>
    </row>
    <row r="31" customFormat="false" ht="15" hidden="false" customHeight="false" outlineLevel="0" collapsed="false">
      <c r="A31" s="4" t="s">
        <v>402</v>
      </c>
      <c r="B31" s="6" t="n">
        <f aca="false">B29/B26</f>
        <v>0.397305555555556</v>
      </c>
      <c r="C31" s="4"/>
    </row>
    <row r="33" customFormat="false" ht="15" hidden="false" customHeight="false" outlineLevel="0" collapsed="false">
      <c r="A33" s="9" t="s">
        <v>403</v>
      </c>
    </row>
    <row r="34" customFormat="false" ht="31.5" hidden="false" customHeight="true" outlineLevel="0" collapsed="false">
      <c r="A34" s="3" t="s">
        <v>404</v>
      </c>
      <c r="B34" s="3" t="s">
        <v>405</v>
      </c>
      <c r="C34" s="3" t="s">
        <v>295</v>
      </c>
    </row>
    <row r="35" customFormat="false" ht="15" hidden="false" customHeight="false" outlineLevel="0" collapsed="false">
      <c r="A35" s="25" t="n">
        <v>50</v>
      </c>
      <c r="B35" s="34" t="n">
        <f aca="false">B29-(50-B8)*(Precios!$D$33+Precios!$D$34)</f>
        <v>18083</v>
      </c>
      <c r="C35" s="4"/>
    </row>
    <row r="36" customFormat="false" ht="15" hidden="false" customHeight="false" outlineLevel="0" collapsed="false">
      <c r="A36" s="25" t="n">
        <v>60</v>
      </c>
      <c r="B36" s="34" t="n">
        <f aca="false">B29-(60-B8)*(Precios!$D$33+Precios!$D$34)</f>
        <v>15983</v>
      </c>
      <c r="C36" s="4"/>
    </row>
    <row r="37" customFormat="false" ht="15" hidden="false" customHeight="false" outlineLevel="0" collapsed="false">
      <c r="A37" s="25" t="n">
        <v>70</v>
      </c>
      <c r="B37" s="34" t="n">
        <f aca="false">B29-(70-B8)*(Precios!$D$33+Precios!$D$34)</f>
        <v>13883</v>
      </c>
      <c r="C37" s="4"/>
    </row>
    <row r="38" customFormat="false" ht="15" hidden="false" customHeight="false" outlineLevel="0" collapsed="false">
      <c r="A38" s="25" t="n">
        <v>80</v>
      </c>
      <c r="B38" s="34" t="n">
        <f aca="false">B29-(80-B8)*(Precios!$D$33+Precios!$D$34)</f>
        <v>11783</v>
      </c>
      <c r="C38" s="4"/>
    </row>
    <row r="39" customFormat="false" ht="15" hidden="false" customHeight="false" outlineLevel="0" collapsed="false">
      <c r="A39" s="25" t="n">
        <v>90</v>
      </c>
      <c r="B39" s="34" t="n">
        <f aca="false">B29-(90-B8)*(Precios!$D$33+Precios!$D$34)</f>
        <v>9683</v>
      </c>
      <c r="C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5" min="4" style="0" width="10"/>
    <col collapsed="false" customWidth="true" hidden="false" outlineLevel="0" max="6" min="6" style="0" width="26"/>
    <col collapsed="false" customWidth="true" hidden="false" outlineLevel="0" max="8" min="7" style="0" width="10"/>
  </cols>
  <sheetData>
    <row r="1" customFormat="false" ht="16.15" hidden="false" customHeight="false" outlineLevel="0" collapsed="false">
      <c r="A1" s="1" t="s">
        <v>406</v>
      </c>
    </row>
    <row r="2" customFormat="false" ht="15" hidden="false" customHeight="false" outlineLevel="0" collapsed="false">
      <c r="A2" s="2" t="s">
        <v>407</v>
      </c>
    </row>
    <row r="4" customFormat="false" ht="31.5" hidden="false" customHeight="true" outlineLevel="0" collapsed="false">
      <c r="A4" s="3" t="s">
        <v>408</v>
      </c>
      <c r="B4" s="3" t="s">
        <v>409</v>
      </c>
      <c r="C4" s="3" t="s">
        <v>410</v>
      </c>
      <c r="D4" s="3" t="s">
        <v>411</v>
      </c>
      <c r="E4" s="3" t="s">
        <v>412</v>
      </c>
      <c r="F4" s="3" t="s">
        <v>413</v>
      </c>
      <c r="G4" s="3" t="s">
        <v>414</v>
      </c>
      <c r="H4" s="3" t="s">
        <v>415</v>
      </c>
    </row>
    <row r="5" customFormat="false" ht="15" hidden="false" customHeight="false" outlineLevel="0" collapsed="false">
      <c r="A5" s="4" t="s">
        <v>416</v>
      </c>
      <c r="B5" s="28" t="n">
        <v>19.3</v>
      </c>
      <c r="C5" s="4" t="s">
        <v>417</v>
      </c>
      <c r="D5" s="28" t="n">
        <v>29.2</v>
      </c>
      <c r="E5" s="37" t="n">
        <f aca="false">B5/D5</f>
        <v>0.660958904109589</v>
      </c>
      <c r="F5" s="4" t="s">
        <v>418</v>
      </c>
      <c r="G5" s="28" t="n">
        <v>22</v>
      </c>
      <c r="H5" s="37" t="n">
        <f aca="false">B5/G5</f>
        <v>0.877272727272727</v>
      </c>
    </row>
    <row r="6" customFormat="false" ht="15" hidden="false" customHeight="false" outlineLevel="0" collapsed="false">
      <c r="A6" s="4" t="s">
        <v>419</v>
      </c>
      <c r="B6" s="28" t="n">
        <v>18.6</v>
      </c>
      <c r="C6" s="4" t="s">
        <v>420</v>
      </c>
      <c r="D6" s="28" t="n">
        <v>23.4</v>
      </c>
      <c r="E6" s="37" t="n">
        <f aca="false">B6/D6</f>
        <v>0.794871794871795</v>
      </c>
      <c r="F6" s="4" t="s">
        <v>418</v>
      </c>
      <c r="G6" s="28" t="n">
        <v>22</v>
      </c>
      <c r="H6" s="37" t="n">
        <f aca="false">B6/G6</f>
        <v>0.845454545454546</v>
      </c>
    </row>
    <row r="7" customFormat="false" ht="15" hidden="false" customHeight="false" outlineLevel="0" collapsed="false">
      <c r="A7" s="4" t="s">
        <v>421</v>
      </c>
      <c r="B7" s="28" t="s">
        <v>422</v>
      </c>
      <c r="C7" s="4" t="s">
        <v>423</v>
      </c>
      <c r="D7" s="28" t="s">
        <v>315</v>
      </c>
      <c r="E7" s="4" t="s">
        <v>315</v>
      </c>
      <c r="F7" s="4" t="s">
        <v>424</v>
      </c>
      <c r="G7" s="28" t="n">
        <v>13.1</v>
      </c>
      <c r="H7" s="38" t="s">
        <v>425</v>
      </c>
    </row>
    <row r="8" customFormat="false" ht="15" hidden="false" customHeight="false" outlineLevel="0" collapsed="false">
      <c r="A8" s="4" t="s">
        <v>426</v>
      </c>
      <c r="B8" s="28" t="n">
        <v>5.2</v>
      </c>
      <c r="C8" s="4" t="s">
        <v>427</v>
      </c>
      <c r="D8" s="28" t="n">
        <v>45.1</v>
      </c>
      <c r="E8" s="37" t="n">
        <f aca="false">B8/D8</f>
        <v>0.11529933481153</v>
      </c>
      <c r="F8" s="4" t="s">
        <v>428</v>
      </c>
      <c r="G8" s="28" t="n">
        <v>30.1</v>
      </c>
      <c r="H8" s="37" t="n">
        <f aca="false">B8/G8</f>
        <v>0.172757475083056</v>
      </c>
    </row>
    <row r="9" customFormat="false" ht="15" hidden="false" customHeight="false" outlineLevel="0" collapsed="false">
      <c r="A9" s="12" t="s">
        <v>429</v>
      </c>
    </row>
    <row r="11" customFormat="false" ht="31.5" hidden="false" customHeight="true" outlineLevel="0" collapsed="false">
      <c r="A11" s="3" t="s">
        <v>430</v>
      </c>
      <c r="B11" s="3" t="s">
        <v>431</v>
      </c>
      <c r="C11" s="3" t="s">
        <v>432</v>
      </c>
      <c r="D11" s="3" t="s">
        <v>37</v>
      </c>
      <c r="E11" s="3" t="s">
        <v>142</v>
      </c>
      <c r="F11" s="3" t="s">
        <v>433</v>
      </c>
      <c r="G11" s="3" t="s">
        <v>295</v>
      </c>
      <c r="H11" s="3"/>
    </row>
    <row r="12" customFormat="false" ht="15" hidden="false" customHeight="false" outlineLevel="0" collapsed="false">
      <c r="A12" s="4" t="s">
        <v>434</v>
      </c>
      <c r="B12" s="25" t="n">
        <v>72</v>
      </c>
      <c r="C12" s="25" t="n">
        <v>55</v>
      </c>
      <c r="D12" s="25" t="n">
        <f aca="false">C12-B12</f>
        <v>-17</v>
      </c>
      <c r="E12" s="5" t="n">
        <f aca="false">Precios!$D$13</f>
        <v>80.02</v>
      </c>
      <c r="F12" s="34" t="n">
        <f aca="false">-D12*E12</f>
        <v>1360.34</v>
      </c>
      <c r="G12" s="4" t="s">
        <v>435</v>
      </c>
    </row>
    <row r="13" customFormat="false" ht="15" hidden="false" customHeight="false" outlineLevel="0" collapsed="false">
      <c r="A13" s="4" t="s">
        <v>436</v>
      </c>
      <c r="B13" s="25" t="n">
        <v>22</v>
      </c>
      <c r="C13" s="25" t="n">
        <v>0</v>
      </c>
      <c r="D13" s="25" t="n">
        <f aca="false">C13-B13</f>
        <v>-22</v>
      </c>
      <c r="E13" s="5" t="n">
        <f aca="false">Precios!$D$14</f>
        <v>54.41</v>
      </c>
      <c r="F13" s="34" t="n">
        <f aca="false">-D13*E13</f>
        <v>1197.02</v>
      </c>
      <c r="G13" s="4" t="s">
        <v>437</v>
      </c>
    </row>
    <row r="14" customFormat="false" ht="15" hidden="false" customHeight="false" outlineLevel="0" collapsed="false">
      <c r="A14" s="4" t="s">
        <v>438</v>
      </c>
      <c r="B14" s="25" t="n">
        <v>18</v>
      </c>
      <c r="C14" s="25" t="n">
        <v>12</v>
      </c>
      <c r="D14" s="25" t="n">
        <f aca="false">C14-B14</f>
        <v>-6</v>
      </c>
      <c r="E14" s="5" t="n">
        <f aca="false">Precios!$D$14</f>
        <v>54.41</v>
      </c>
      <c r="F14" s="34" t="n">
        <f aca="false">-D14*E14</f>
        <v>326.46</v>
      </c>
      <c r="G14" s="4" t="s">
        <v>439</v>
      </c>
    </row>
    <row r="15" customFormat="false" ht="15" hidden="false" customHeight="false" outlineLevel="0" collapsed="false">
      <c r="A15" s="4" t="s">
        <v>440</v>
      </c>
      <c r="B15" s="25" t="n">
        <v>0</v>
      </c>
      <c r="C15" s="25" t="n">
        <v>11</v>
      </c>
      <c r="D15" s="25" t="n">
        <f aca="false">C15-B15</f>
        <v>11</v>
      </c>
      <c r="E15" s="5" t="n">
        <f aca="false">Precios!$D$15</f>
        <v>35.96</v>
      </c>
      <c r="F15" s="34" t="n">
        <f aca="false">-D15*E15</f>
        <v>-395.56</v>
      </c>
      <c r="G15" s="4" t="s">
        <v>441</v>
      </c>
    </row>
    <row r="16" customFormat="false" ht="15" hidden="false" customHeight="false" outlineLevel="0" collapsed="false">
      <c r="A16" s="7" t="s">
        <v>442</v>
      </c>
      <c r="F16" s="36" t="n">
        <f aca="false">SUM(F12:F15)</f>
        <v>2488.26</v>
      </c>
      <c r="G16" s="4" t="s">
        <v>443</v>
      </c>
    </row>
    <row r="17" customFormat="false" ht="15" hidden="false" customHeight="false" outlineLevel="0" collapsed="false">
      <c r="A17" s="4" t="s">
        <v>444</v>
      </c>
      <c r="B17" s="28" t="n">
        <f aca="false">511/250</f>
        <v>2.044</v>
      </c>
      <c r="G17" s="4" t="s">
        <v>445</v>
      </c>
    </row>
    <row r="18" customFormat="false" ht="15" hidden="false" customHeight="false" outlineLevel="0" collapsed="false">
      <c r="A18" s="30" t="s">
        <v>446</v>
      </c>
      <c r="F18" s="39" t="n">
        <f aca="false">ROUND(B17/'INT Mi costo y ganancia'!B6*(Precios!$D$33+Precios!$D$34),0)</f>
        <v>318</v>
      </c>
      <c r="G18" s="4" t="s">
        <v>447</v>
      </c>
    </row>
    <row r="20" customFormat="false" ht="15" hidden="false" customHeight="false" outlineLevel="0" collapsed="false">
      <c r="A20" s="9" t="s">
        <v>448</v>
      </c>
    </row>
    <row r="21" customFormat="false" ht="15" hidden="false" customHeight="false" outlineLevel="0" collapsed="false">
      <c r="A21" s="40" t="s">
        <v>449</v>
      </c>
    </row>
    <row r="22" customFormat="false" ht="15" hidden="false" customHeight="false" outlineLevel="0" collapsed="false">
      <c r="A22" s="40" t="s">
        <v>450</v>
      </c>
    </row>
    <row r="24" customFormat="false" ht="15" hidden="false" customHeight="false" outlineLevel="0" collapsed="false">
      <c r="A24" s="9" t="s">
        <v>451</v>
      </c>
    </row>
    <row r="25" customFormat="false" ht="31.5" hidden="false" customHeight="true" outlineLevel="0" collapsed="false">
      <c r="A25" s="3" t="s">
        <v>452</v>
      </c>
      <c r="B25" s="3" t="s">
        <v>453</v>
      </c>
      <c r="C25" s="3" t="s">
        <v>454</v>
      </c>
      <c r="D25" s="3"/>
      <c r="E25" s="3"/>
      <c r="F25" s="3"/>
      <c r="G25" s="3"/>
      <c r="H25" s="3"/>
    </row>
    <row r="26" customFormat="false" ht="15" hidden="false" customHeight="false" outlineLevel="0" collapsed="false">
      <c r="A26" s="4" t="s">
        <v>455</v>
      </c>
      <c r="B26" s="41"/>
      <c r="C26" s="4" t="s">
        <v>456</v>
      </c>
    </row>
    <row r="27" customFormat="false" ht="15" hidden="false" customHeight="false" outlineLevel="0" collapsed="false">
      <c r="A27" s="4" t="s">
        <v>457</v>
      </c>
      <c r="B27" s="41"/>
      <c r="C27" s="4" t="s">
        <v>458</v>
      </c>
    </row>
    <row r="28" customFormat="false" ht="15" hidden="false" customHeight="false" outlineLevel="0" collapsed="false">
      <c r="A28" s="4" t="s">
        <v>459</v>
      </c>
      <c r="B28" s="41"/>
      <c r="C28" s="4" t="s">
        <v>460</v>
      </c>
    </row>
    <row r="29" customFormat="false" ht="15" hidden="false" customHeight="false" outlineLevel="0" collapsed="false">
      <c r="A29" s="4" t="s">
        <v>461</v>
      </c>
      <c r="B29" s="41"/>
      <c r="C29" s="4" t="s">
        <v>462</v>
      </c>
    </row>
    <row r="30" customFormat="false" ht="15" hidden="false" customHeight="false" outlineLevel="0" collapsed="false">
      <c r="A30" s="4" t="s">
        <v>463</v>
      </c>
      <c r="B30" s="41"/>
      <c r="C30" s="4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2026-10-14T07:58:24Z</dcterms:created>
  <dc:creator>openpyxl</dc:creator>
  <dc:description/>
  <dc:language>en-US</dc:language>
  <cp:lastModifiedBy/>
  <dcterms:modified xsi:type="dcterms:W3CDTF">2026-10-14T07:58:24Z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