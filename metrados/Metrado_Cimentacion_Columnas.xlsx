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esupuesto" sheetId="2" state="visible" r:id="rId4"/>
    <sheet name="Parametros" sheetId="3" state="visible" r:id="rId5"/>
    <sheet name="Zapatas" sheetId="4" state="visible" r:id="rId6"/>
    <sheet name="Vigas_Cimentacion" sheetId="5" state="visible" r:id="rId7"/>
    <sheet name="Columnas" sheetId="6" state="visible" r:id="rId8"/>
    <sheet name="Mov_Tierras" sheetId="7" state="visible" r:id="rId9"/>
    <sheet name="Insumos" sheetId="8" state="visible" r:id="rId10"/>
    <sheet name="APU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<sst xmlns="http://schemas.openxmlformats.org/spreadsheetml/2006/main" count="877" uniqueCount="505">
  <si>
    <t xml:space="preserve">RESUMEN DE METRADOS - CIMENTACIÓN Y COLUMNAS</t>
  </si>
  <si>
    <t xml:space="preserve">Vivienda unifamiliar 3 niveles - Chorrillos, Lima. Láminas E-01, E-02 (VE desde -1.50, mismo nivel que zapatas) y E-04. Precios unitarios en AMARILLO para llenar.</t>
  </si>
  <si>
    <t xml:space="preserve">Ítem</t>
  </si>
  <si>
    <t xml:space="preserve">Descripción</t>
  </si>
  <si>
    <t xml:space="preserve">Und</t>
  </si>
  <si>
    <t xml:space="preserve">Metrado</t>
  </si>
  <si>
    <t xml:space="preserve">P.U. (S/)</t>
  </si>
  <si>
    <t xml:space="preserve">Parcial (S/)</t>
  </si>
  <si>
    <t xml:space="preserve">01</t>
  </si>
  <si>
    <t xml:space="preserve">MOVIMIENTO DE TIERRAS (OE.2.1)</t>
  </si>
  <si>
    <t xml:space="preserve">01.01</t>
  </si>
  <si>
    <t xml:space="preserve">Excavación para zapatas</t>
  </si>
  <si>
    <t xml:space="preserve">m³</t>
  </si>
  <si>
    <t xml:space="preserve">01.02</t>
  </si>
  <si>
    <t xml:space="preserve">Excavación para vigas de cimentación</t>
  </si>
  <si>
    <t xml:space="preserve">01.03</t>
  </si>
  <si>
    <t xml:space="preserve">Relleno compactado con material propio</t>
  </si>
  <si>
    <t xml:space="preserve">01.04</t>
  </si>
  <si>
    <t xml:space="preserve">Eliminación de material excedente (esp. 25%)</t>
  </si>
  <si>
    <t xml:space="preserve">02</t>
  </si>
  <si>
    <t xml:space="preserve">OBRAS DE CONCRETO SIMPLE (OE.2.2)</t>
  </si>
  <si>
    <t xml:space="preserve">02.01</t>
  </si>
  <si>
    <t xml:space="preserve">Solado C:H 1:12, e = 0.10 m</t>
  </si>
  <si>
    <t xml:space="preserve">m²</t>
  </si>
  <si>
    <t xml:space="preserve">03</t>
  </si>
  <si>
    <t xml:space="preserve">OBRAS DE CONCRETO ARMADO (OE.2.3)</t>
  </si>
  <si>
    <t xml:space="preserve">03.01</t>
  </si>
  <si>
    <t xml:space="preserve">ZAPATAS</t>
  </si>
  <si>
    <t xml:space="preserve">03.01.01</t>
  </si>
  <si>
    <t xml:space="preserve">Concreto f'c = 210 kg/cm² en zapatas</t>
  </si>
  <si>
    <t xml:space="preserve">03.01.02</t>
  </si>
  <si>
    <t xml:space="preserve">Encofrado y desencofrado de zapatas (si se encofra)</t>
  </si>
  <si>
    <t xml:space="preserve">03.01.03</t>
  </si>
  <si>
    <t xml:space="preserve">Acero fy = 4200 kg/cm² en zapatas</t>
  </si>
  <si>
    <t xml:space="preserve">kg</t>
  </si>
  <si>
    <t xml:space="preserve">03.02</t>
  </si>
  <si>
    <t xml:space="preserve">VIGAS DE CIMENTACIÓN</t>
  </si>
  <si>
    <t xml:space="preserve">03.02.01</t>
  </si>
  <si>
    <t xml:space="preserve">Concreto f'c = 210 kg/cm² en vigas de cimentación</t>
  </si>
  <si>
    <t xml:space="preserve">03.02.02</t>
  </si>
  <si>
    <t xml:space="preserve">Encofrado y desencofrado de vigas de cimentación</t>
  </si>
  <si>
    <t xml:space="preserve">03.02.03</t>
  </si>
  <si>
    <t xml:space="preserve">Acero fy = 4200 kg/cm² en vigas de cimentación</t>
  </si>
  <si>
    <t xml:space="preserve">03.02.04</t>
  </si>
  <si>
    <t xml:space="preserve">Tecnopor e = 0.10 m bajo vigas de equilibrio</t>
  </si>
  <si>
    <t xml:space="preserve">03.03</t>
  </si>
  <si>
    <t xml:space="preserve">COLUMNAS</t>
  </si>
  <si>
    <t xml:space="preserve">03.03.01</t>
  </si>
  <si>
    <t xml:space="preserve">Concreto f'c = 210 kg/cm² en columnas</t>
  </si>
  <si>
    <t xml:space="preserve">03.03.02</t>
  </si>
  <si>
    <t xml:space="preserve">Encofrado y desencofrado de columnas</t>
  </si>
  <si>
    <t xml:space="preserve">03.03.03</t>
  </si>
  <si>
    <t xml:space="preserve">Acero fy = 4200 kg/cm² en columnas</t>
  </si>
  <si>
    <t xml:space="preserve">COSTO DIRECTO (S/)</t>
  </si>
  <si>
    <t xml:space="preserve">RESUMEN DE CONCRETO f'c 210 (m³)</t>
  </si>
  <si>
    <t xml:space="preserve">Zapatas</t>
  </si>
  <si>
    <t xml:space="preserve">Vigas de cimentación</t>
  </si>
  <si>
    <t xml:space="preserve">Columnas (incluye tramo bajo NTN)</t>
  </si>
  <si>
    <t xml:space="preserve">TOTAL CONCRETO</t>
  </si>
  <si>
    <t xml:space="preserve">RESUMEN DE ACERO POR DIÁMETRO (kg)</t>
  </si>
  <si>
    <t xml:space="preserve">Elemento</t>
  </si>
  <si>
    <t xml:space="preserve">Ø3/8"</t>
  </si>
  <si>
    <t xml:space="preserve">Ø1/2"</t>
  </si>
  <si>
    <t xml:space="preserve">Ø5/8"</t>
  </si>
  <si>
    <t xml:space="preserve">Ø3/4"</t>
  </si>
  <si>
    <t xml:space="preserve">TOTAL</t>
  </si>
  <si>
    <t xml:space="preserve">Columnas</t>
  </si>
  <si>
    <t xml:space="preserve">Notas:</t>
  </si>
  <si>
    <t xml:space="preserve">• Vigas de cimentación con fondo a -1.50 (mismo nivel que zapatas); la parte embebida en la zapata se mide en la zapata.</t>
  </si>
  <si>
    <t xml:space="preserve">• Excavación a dimensiones netas. Si las zanjas de vigas se abren más anchas para encofrar, aumentan excavación y relleno.</t>
  </si>
  <si>
    <t xml:space="preserve">• Esponjamiento 25% supuesto; relleno hasta NTN ±0.00 (sin descontar falso piso).</t>
  </si>
  <si>
    <t xml:space="preserve">• Encofrado de columnas sin plano de vigas aéreas: fuste hasta fondo de viga + caras exteriores de nudo.</t>
  </si>
  <si>
    <t xml:space="preserve">• No incluye desperdicios. Revisar y firmar por el ingeniero responsable.</t>
  </si>
  <si>
    <t xml:space="preserve">PRESUPUESTO - Cimentación y columnas (excavación con máquina, concreto con mixer)</t>
  </si>
  <si>
    <t xml:space="preserve">Precios con IGV, Lima oct-2026, referenciales. Metrados reales de obra (zanjas al ancho del cucharón; zapatas vaciadas contra terreno).</t>
  </si>
  <si>
    <t xml:space="preserve">Cómo se obtuvo el metrado</t>
  </si>
  <si>
    <t xml:space="preserve">MOVIMIENTO DE TIERRAS</t>
  </si>
  <si>
    <t xml:space="preserve">Movilización y desmovilización de retroexcavadora</t>
  </si>
  <si>
    <t xml:space="preserve">glb</t>
  </si>
  <si>
    <t xml:space="preserve">Global</t>
  </si>
  <si>
    <t xml:space="preserve">Excavación con retroexcavadora (zapatas y zanjas de vigas)</t>
  </si>
  <si>
    <t xml:space="preserve">Zapatas neto + zanjas al ancho del cucharón (0.60)</t>
  </si>
  <si>
    <t xml:space="preserve">Relleno neto + sobreexcavación de zanjas</t>
  </si>
  <si>
    <t xml:space="preserve">Eliminación de material excedente (volquete 15 m³)</t>
  </si>
  <si>
    <t xml:space="preserve">viaje</t>
  </si>
  <si>
    <t xml:space="preserve">Material suelto ÷ 15 m³</t>
  </si>
  <si>
    <t xml:space="preserve">CONCRETO SIMPLE</t>
  </si>
  <si>
    <t xml:space="preserve">Área de zapatas</t>
  </si>
  <si>
    <t xml:space="preserve">CONCRETO ARMADO - CIMENTACIÓN</t>
  </si>
  <si>
    <t xml:space="preserve">Concreto premezclado f'c 210 en zapatas + vigas de cimentación</t>
  </si>
  <si>
    <t xml:space="preserve">Un vaciado monolítico</t>
  </si>
  <si>
    <t xml:space="preserve">Zapatas sin encofrado (contra terreno)</t>
  </si>
  <si>
    <t xml:space="preserve">Acero fy 4200 en zapatas y vigas de cimentación</t>
  </si>
  <si>
    <t xml:space="preserve">03.04</t>
  </si>
  <si>
    <t xml:space="preserve">04</t>
  </si>
  <si>
    <t xml:space="preserve">CONCRETO ARMADO - COLUMNAS</t>
  </si>
  <si>
    <t xml:space="preserve">04.01</t>
  </si>
  <si>
    <t xml:space="preserve">Concreto premezclado f'c 210 en columnas</t>
  </si>
  <si>
    <t xml:space="preserve">3 vaciados (piso 1 con tramo bajo NTN, piso 2, piso 3)</t>
  </si>
  <si>
    <t xml:space="preserve">04.02</t>
  </si>
  <si>
    <t xml:space="preserve">04.03</t>
  </si>
  <si>
    <t xml:space="preserve">Acero fy 4200 en columnas</t>
  </si>
  <si>
    <t xml:space="preserve">COSTO DIRECTO</t>
  </si>
  <si>
    <t xml:space="preserve">Gastos generales</t>
  </si>
  <si>
    <t xml:space="preserve">Utilidad</t>
  </si>
  <si>
    <t xml:space="preserve">COSTO TOTAL (IGV incluido en insumos)</t>
  </si>
  <si>
    <t xml:space="preserve">INDICADORES</t>
  </si>
  <si>
    <t xml:space="preserve">Costo total ÷ m³ de concreto (indicador global)</t>
  </si>
  <si>
    <t xml:space="preserve">S/ por m³</t>
  </si>
  <si>
    <t xml:space="preserve">Concreto premezclado a pedir (con desperdicio)</t>
  </si>
  <si>
    <t xml:space="preserve">Viajes de mixer de 8 m³ (aprox.)</t>
  </si>
  <si>
    <t xml:space="preserve">viajes</t>
  </si>
  <si>
    <t xml:space="preserve">Horas de retroexcavadora (excavación + carguío)</t>
  </si>
  <si>
    <t xml:space="preserve">h</t>
  </si>
  <si>
    <t xml:space="preserve">Acero total a comprar (con desperdicio)</t>
  </si>
  <si>
    <t xml:space="preserve">• Precios referenciales de mercado (Lima, oct-2026) con IGV. Reemplazar en la hoja Insumos por cotizaciones reales; todo se recalcula.</t>
  </si>
  <si>
    <t xml:space="preserve">• Concreto: el rango publicado en Lima va de S/ 260 a S/ 415/m³ según planta y zona; se usó S/ 380. Bomba S/ 40/m³ con mínimo 20 m³ por vaciado.</t>
  </si>
  <si>
    <t xml:space="preserve">• Zapatas vaciadas contra terreno (sin encofrado). Zanjas de VE/VC excavadas con cucharón de 0.60 m y encofradas.</t>
  </si>
  <si>
    <t xml:space="preserve">• No incluye: calzaduras, agua/luz de obra, ensayos de probetas, supervisión, vigas aéreas ni losas.</t>
  </si>
  <si>
    <t xml:space="preserve">• Columnas en 3 vaciados independientes: si se vacían junto con cada techo, la bomba se comparte y el costo baja.</t>
  </si>
  <si>
    <t xml:space="preserve">PARÁMETROS GENERALES</t>
  </si>
  <si>
    <t xml:space="preserve">Celdas en AZUL = datos de entrada editables. Todo el libro se recalcula a partir de estas celdas y de las tablas de cada hoja.</t>
  </si>
  <si>
    <t xml:space="preserve">Parámetro</t>
  </si>
  <si>
    <t xml:space="preserve">Valor</t>
  </si>
  <si>
    <t xml:space="preserve">Fuente / nota</t>
  </si>
  <si>
    <t xml:space="preserve">Peso acero Ø3/8"</t>
  </si>
  <si>
    <t xml:space="preserve">kg/m</t>
  </si>
  <si>
    <t xml:space="preserve">Peso nominal ASTM A615</t>
  </si>
  <si>
    <t xml:space="preserve">Peso acero Ø1/2"</t>
  </si>
  <si>
    <t xml:space="preserve">Peso acero Ø5/8"</t>
  </si>
  <si>
    <t xml:space="preserve">Peso acero Ø3/4"</t>
  </si>
  <si>
    <t xml:space="preserve">Esponjamiento para eliminación</t>
  </si>
  <si>
    <t xml:space="preserve">Supuesto (suelo gravoso/arenoso). Ajustar con EMS</t>
  </si>
  <si>
    <t xml:space="preserve">Nivel fondo de zapata (Df)</t>
  </si>
  <si>
    <t xml:space="preserve">m</t>
  </si>
  <si>
    <t xml:space="preserve">E-01, nota 3</t>
  </si>
  <si>
    <t xml:space="preserve">Altura de zapata</t>
  </si>
  <si>
    <t xml:space="preserve">E-01, cuadro de zapatas</t>
  </si>
  <si>
    <t xml:space="preserve">Espesor de solado C:H 1:12</t>
  </si>
  <si>
    <t xml:space="preserve">E-01, nota 2</t>
  </si>
  <si>
    <t xml:space="preserve">Espesor de tecnopor bajo VE</t>
  </si>
  <si>
    <t xml:space="preserve">E-01 nota 7 / E-02 nota 2</t>
  </si>
  <si>
    <t xml:space="preserve">Profundidad excavación zapatas</t>
  </si>
  <si>
    <t xml:space="preserve">Df + solado</t>
  </si>
  <si>
    <t xml:space="preserve">Profundidad excavación VE</t>
  </si>
  <si>
    <t xml:space="preserve">Fondo VE = fondo zapata (decisión de obra) + tecnopor</t>
  </si>
  <si>
    <t xml:space="preserve">Profundidad excavación VC</t>
  </si>
  <si>
    <t xml:space="preserve">Fondo VC -1.50 sobre terreno compactado</t>
  </si>
  <si>
    <t xml:space="preserve">Cara superior de zapata</t>
  </si>
  <si>
    <t xml:space="preserve">E-01 / E-04</t>
  </si>
  <si>
    <t xml:space="preserve">Nivel techo 1</t>
  </si>
  <si>
    <t xml:space="preserve">E-04 elevación</t>
  </si>
  <si>
    <t xml:space="preserve">Nivel techo 2</t>
  </si>
  <si>
    <t xml:space="preserve">Nivel azotea</t>
  </si>
  <si>
    <t xml:space="preserve">Peralte de vigas aéreas en columnas</t>
  </si>
  <si>
    <t xml:space="preserve">E-04: fondo de viga 0.50 bajo cada techo</t>
  </si>
  <si>
    <t xml:space="preserve">Recubrimiento columna al estribo</t>
  </si>
  <si>
    <t xml:space="preserve">E-04 nota 2</t>
  </si>
  <si>
    <t xml:space="preserve">Gancho 135° estribo Ø1/2" (c/u)</t>
  </si>
  <si>
    <t xml:space="preserve">6db ≥ 7.5 cm + doblez. Supuesto</t>
  </si>
  <si>
    <t xml:space="preserve">Gancho estribo montaje Ø3/8" (c/u)</t>
  </si>
  <si>
    <t xml:space="preserve">Supuesto</t>
  </si>
  <si>
    <t xml:space="preserve">Nivel inferior barra de columna</t>
  </si>
  <si>
    <t xml:space="preserve">E-04: Ldc disponible 0.39 bajo cara de zapata</t>
  </si>
  <si>
    <t xml:space="preserve">Nivel superior barra de columna</t>
  </si>
  <si>
    <t xml:space="preserve">Azotea - 0.05. Supuesto</t>
  </si>
  <si>
    <t xml:space="preserve">Gancho 90° barras columna (pata)</t>
  </si>
  <si>
    <t xml:space="preserve">E-04 notas 9 y 10</t>
  </si>
  <si>
    <t xml:space="preserve">Empalme 1 Ø5/8" (piso 1)</t>
  </si>
  <si>
    <t xml:space="preserve">E-04 nota 8</t>
  </si>
  <si>
    <t xml:space="preserve">Empalme 2 Ø3/4" con Ø5/8" (piso 3)</t>
  </si>
  <si>
    <t xml:space="preserve">Estribos en Lo por extremo (1@.05 + 8@.075)</t>
  </si>
  <si>
    <t xml:space="preserve">und</t>
  </si>
  <si>
    <t xml:space="preserve">E-04</t>
  </si>
  <si>
    <t xml:space="preserve">Longitud Lo cubierta</t>
  </si>
  <si>
    <t xml:space="preserve">0.05 + 8×0.075</t>
  </si>
  <si>
    <t xml:space="preserve">Espaciamiento en Lo, nudo y empalmes</t>
  </si>
  <si>
    <t xml:space="preserve">Espaciamiento resto</t>
  </si>
  <si>
    <t xml:space="preserve">ZAPATAS - Concreto, solado, encofrado, acero y excavación</t>
  </si>
  <si>
    <t xml:space="preserve">Fuente: lámina E-01. B = dimensión en X, L = dimensión en Y. Acero: parrilla Ø5/8" @0.20 a.s. (barras incluyen ganchos 0.20).</t>
  </si>
  <si>
    <t xml:space="preserve">Tipo</t>
  </si>
  <si>
    <t xml:space="preserve">Cant.</t>
  </si>
  <si>
    <t xml:space="preserve">B (m)</t>
  </si>
  <si>
    <t xml:space="preserve">L (m)</t>
  </si>
  <si>
    <t xml:space="preserve">h (m)</t>
  </si>
  <si>
    <t xml:space="preserve">Área c/u (m²)</t>
  </si>
  <si>
    <t xml:space="preserve">Concreto c/u (m³)</t>
  </si>
  <si>
    <t xml:space="preserve">CONCRETO (m³)</t>
  </si>
  <si>
    <t xml:space="preserve">SOLADO (m²)</t>
  </si>
  <si>
    <t xml:space="preserve">Encofrado c/u (m²)</t>
  </si>
  <si>
    <t xml:space="preserve">ENCOFRADO (m²)</t>
  </si>
  <si>
    <t xml:space="preserve">N° barras X</t>
  </si>
  <si>
    <t xml:space="preserve">Long. X (m)</t>
  </si>
  <si>
    <t xml:space="preserve">N° barras Y</t>
  </si>
  <si>
    <t xml:space="preserve">Long. Y (m)</t>
  </si>
  <si>
    <t xml:space="preserve">Acero c/u (kg)</t>
  </si>
  <si>
    <t xml:space="preserve">ACERO Ø5/8" (kg)</t>
  </si>
  <si>
    <t xml:space="preserve">EXCAVACIÓN (m³)</t>
  </si>
  <si>
    <t xml:space="preserve">Z-1</t>
  </si>
  <si>
    <t xml:space="preserve">B2</t>
  </si>
  <si>
    <t xml:space="preserve">Z-2</t>
  </si>
  <si>
    <t xml:space="preserve">B3, B4</t>
  </si>
  <si>
    <t xml:space="preserve">Z-3</t>
  </si>
  <si>
    <t xml:space="preserve">A2, C2</t>
  </si>
  <si>
    <t xml:space="preserve">Z-4</t>
  </si>
  <si>
    <t xml:space="preserve">A3, A4, C3, C4, B1*, B5*</t>
  </si>
  <si>
    <t xml:space="preserve">Z-5</t>
  </si>
  <si>
    <t xml:space="preserve">A1, A5, C1, C5</t>
  </si>
  <si>
    <t xml:space="preserve">* En B1 y B5 la Z-4 va girada 90° (2.10 en X, 1.40 en Y); el volumen no cambia.</t>
  </si>
  <si>
    <t xml:space="preserve">Encofrado = perímetro × h. Si la zapata se vacía contra el terreno (excavación al ras), esta partida no se ejecuta.</t>
  </si>
  <si>
    <t xml:space="preserve">Excavación = área × profundidad (fondo de zapata + solado), desde NTN ±0.00.</t>
  </si>
  <si>
    <t xml:space="preserve">VIGAS DE CIMENTACIÓN - Concreto, encofrado, tecnopor, acero y excavación</t>
  </si>
  <si>
    <t xml:space="preserve">Fuente: E-02 (luces libres, acero, estribos) y E-01 (distancia libre entre zapatas). Fondo de viga al mismo nivel que la zapata (-1.50).</t>
  </si>
  <si>
    <t xml:space="preserve">Viga</t>
  </si>
  <si>
    <t xml:space="preserve">Ubicación</t>
  </si>
  <si>
    <t xml:space="preserve">b (m)</t>
  </si>
  <si>
    <t xml:space="preserve">L libre entre columnas (m)</t>
  </si>
  <si>
    <t xml:space="preserve">L entre zapatas (m)</t>
  </si>
  <si>
    <t xml:space="preserve">L sobre zapatas (m)</t>
  </si>
  <si>
    <t xml:space="preserve">h sobre zapata (m)</t>
  </si>
  <si>
    <t xml:space="preserve">TECNOPOR (m²)</t>
  </si>
  <si>
    <t xml:space="preserve">Prof. excav. (m)</t>
  </si>
  <si>
    <t xml:space="preserve">L barra (m)</t>
  </si>
  <si>
    <t xml:space="preserve">N° Ø3/4"</t>
  </si>
  <si>
    <t xml:space="preserve">N° Ø5/8"</t>
  </si>
  <si>
    <t xml:space="preserve">N° estribos</t>
  </si>
  <si>
    <t xml:space="preserve">L estribo Ø3/8" (m)</t>
  </si>
  <si>
    <t xml:space="preserve">Ø3/4" (kg)</t>
  </si>
  <si>
    <t xml:space="preserve">Ø5/8" (kg)</t>
  </si>
  <si>
    <t xml:space="preserve">Ø3/8" (kg)</t>
  </si>
  <si>
    <t xml:space="preserve">ACERO TOTAL (kg)</t>
  </si>
  <si>
    <t xml:space="preserve">VE-1a</t>
  </si>
  <si>
    <t xml:space="preserve">VE-1</t>
  </si>
  <si>
    <t xml:space="preserve">Eje 2: A2-B2</t>
  </si>
  <si>
    <t xml:space="preserve">VE-1b</t>
  </si>
  <si>
    <t xml:space="preserve">Eje 2: B2-C2</t>
  </si>
  <si>
    <t xml:space="preserve">VE-1c</t>
  </si>
  <si>
    <t xml:space="preserve">Eje B: B1-B2</t>
  </si>
  <si>
    <t xml:space="preserve">VE-1d</t>
  </si>
  <si>
    <t xml:space="preserve">Eje B: B4-B5</t>
  </si>
  <si>
    <t xml:space="preserve">VE-2a</t>
  </si>
  <si>
    <t xml:space="preserve">VE-2</t>
  </si>
  <si>
    <t xml:space="preserve">Eje 1: A1-B1</t>
  </si>
  <si>
    <t xml:space="preserve">VE-2b</t>
  </si>
  <si>
    <t xml:space="preserve">Eje 1: B1-C1</t>
  </si>
  <si>
    <t xml:space="preserve">VE-2c</t>
  </si>
  <si>
    <t xml:space="preserve">Eje 3: A3-B3</t>
  </si>
  <si>
    <t xml:space="preserve">VE-2d</t>
  </si>
  <si>
    <t xml:space="preserve">Eje 3: B3-C3</t>
  </si>
  <si>
    <t xml:space="preserve">VE-2e</t>
  </si>
  <si>
    <t xml:space="preserve">Eje 4: A4-B4</t>
  </si>
  <si>
    <t xml:space="preserve">VE-2f</t>
  </si>
  <si>
    <t xml:space="preserve">Eje 4: B4-C4</t>
  </si>
  <si>
    <t xml:space="preserve">VE-2g</t>
  </si>
  <si>
    <t xml:space="preserve">Eje 5: A5-B5</t>
  </si>
  <si>
    <t xml:space="preserve">VE-2h</t>
  </si>
  <si>
    <t xml:space="preserve">Eje 5: B5-C5</t>
  </si>
  <si>
    <t xml:space="preserve">VE-2i</t>
  </si>
  <si>
    <t xml:space="preserve">Eje A: A1-A2</t>
  </si>
  <si>
    <t xml:space="preserve">VE-2j</t>
  </si>
  <si>
    <t xml:space="preserve">Eje A: A4-A5</t>
  </si>
  <si>
    <t xml:space="preserve">VE-2k</t>
  </si>
  <si>
    <t xml:space="preserve">Eje C: C1-C2</t>
  </si>
  <si>
    <t xml:space="preserve">VE-2l</t>
  </si>
  <si>
    <t xml:space="preserve">Eje C: C4-C5</t>
  </si>
  <si>
    <t xml:space="preserve">VCa</t>
  </si>
  <si>
    <t xml:space="preserve">VC</t>
  </si>
  <si>
    <t xml:space="preserve">Eje A: A2-A3</t>
  </si>
  <si>
    <t xml:space="preserve">VCb</t>
  </si>
  <si>
    <t xml:space="preserve">Eje A: A3-A4</t>
  </si>
  <si>
    <t xml:space="preserve">VCc</t>
  </si>
  <si>
    <t xml:space="preserve">Eje C: C2-C3</t>
  </si>
  <si>
    <t xml:space="preserve">VCd</t>
  </si>
  <si>
    <t xml:space="preserve">Eje C: C3-C4</t>
  </si>
  <si>
    <t xml:space="preserve">VCe</t>
  </si>
  <si>
    <t xml:space="preserve">Eje B: B2-B3</t>
  </si>
  <si>
    <t xml:space="preserve">VCf</t>
  </si>
  <si>
    <t xml:space="preserve">Eje B: B3-B4</t>
  </si>
  <si>
    <t xml:space="preserve">Subtotal</t>
  </si>
  <si>
    <t xml:space="preserve">L entre zapatas: distancia libre entre caras de zapata (cotas de E-01, verificada con E-04).</t>
  </si>
  <si>
    <t xml:space="preserve">L sobre zapatas = L libre entre columnas - L entre zapatas. Sobre la zapata solo se mide la parte de viga que sobresale de su cara superior (-1.00): h - 0.50.</t>
  </si>
  <si>
    <t xml:space="preserve">Concreto = b×h×L entre zapatas + b×(h sobre zapata)×L sobre zapatas (el volumen embebido ya está en la zapata, Norma de Metrados).</t>
  </si>
  <si>
    <t xml:space="preserve">Encofrado = 2 caras laterales. Si la zanja se excava al ancho de la viga y se vacía contra terreno, no se ejecuta.</t>
  </si>
  <si>
    <t xml:space="preserve">Acero según E-02: VE-1 4Ø3/4"+1Ø5/8" sup. e inf.; VE-2 3Ø3/4"+1Ø5/8" sup. e inf.; VC 3Ø5/8" sup. e inf. L barra y N° estribos del Cuadro de Vigas.</t>
  </si>
  <si>
    <t xml:space="preserve">COLUMNAS - Concreto, encofrado y acero (desde cara superior de zapata hasta azotea)</t>
  </si>
  <si>
    <t xml:space="preserve">Fuente: E-04. Sección b (X) × h (Y). Concreto: altura entre cara superior de zapata/techo y cara superior del techo siguiente (incluye nudos).</t>
  </si>
  <si>
    <t xml:space="preserve">b X (m)</t>
  </si>
  <si>
    <t xml:space="preserve">h Y (m)</t>
  </si>
  <si>
    <t xml:space="preserve">Área (m²)</t>
  </si>
  <si>
    <t xml:space="preserve">Perímetro (m)</t>
  </si>
  <si>
    <t xml:space="preserve">C-1</t>
  </si>
  <si>
    <t xml:space="preserve">C-2</t>
  </si>
  <si>
    <t xml:space="preserve">A2, A3, A4, C2, C3, C4</t>
  </si>
  <si>
    <t xml:space="preserve">C-3</t>
  </si>
  <si>
    <t xml:space="preserve">B1, B5</t>
  </si>
  <si>
    <t xml:space="preserve">C-4</t>
  </si>
  <si>
    <t xml:space="preserve">B2, B3, B4</t>
  </si>
  <si>
    <t xml:space="preserve">1. CONCRETO f'c 210 (m³)</t>
  </si>
  <si>
    <t xml:space="preserve">h bajo NTN (m)</t>
  </si>
  <si>
    <t xml:space="preserve">h piso 1 (m)</t>
  </si>
  <si>
    <t xml:space="preserve">h piso 2 (m)</t>
  </si>
  <si>
    <t xml:space="preserve">h piso 3 (m)</t>
  </si>
  <si>
    <t xml:space="preserve">Vol. bajo NTN</t>
  </si>
  <si>
    <t xml:space="preserve">Vol. piso 1</t>
  </si>
  <si>
    <t xml:space="preserve">Vol. piso 2</t>
  </si>
  <si>
    <t xml:space="preserve">Vol. piso 3</t>
  </si>
  <si>
    <t xml:space="preserve">CONCRETO TOTAL (m³)</t>
  </si>
  <si>
    <t xml:space="preserve">2. ENCOFRADO Y DESENCOFRADO (m²)</t>
  </si>
  <si>
    <t xml:space="preserve">ln bajo NTN (m)</t>
  </si>
  <si>
    <t xml:space="preserve">ln piso 1 sobre NTN (m)</t>
  </si>
  <si>
    <t xml:space="preserve">ln piso 2 (m)</t>
  </si>
  <si>
    <t xml:space="preserve">ln piso 3 (m)</t>
  </si>
  <si>
    <t xml:space="preserve">Encof. fustes (m²)</t>
  </si>
  <si>
    <t xml:space="preserve">Caras ext. en nudo (m)</t>
  </si>
  <si>
    <t xml:space="preserve">N° nudos</t>
  </si>
  <si>
    <t xml:space="preserve">Encof. nudos (m²)</t>
  </si>
  <si>
    <t xml:space="preserve">ENCOFRADO TOTAL (m²)</t>
  </si>
  <si>
    <t xml:space="preserve">Fuste: perímetro × altura libre hasta fondo de viga (ln piso 1 = 3.30 desde -1.00; pisos 2 y 3 = 2.30). Nudos: solo caras exteriores sin viga que llegue (lindero / frente) × peralte 0.50.</t>
  </si>
  <si>
    <t xml:space="preserve">Caras ext.: C-1 esquina 0.50+0.30; C-2 lindero 0.50; C-3 frente 0.60; C-4 interior 0. Supuesto: vigas aéreas en todos los ejes (plano de vigas aéreas no proporcionado).</t>
  </si>
  <si>
    <t xml:space="preserve">3. ACERO LONGITUDINAL (kg)</t>
  </si>
  <si>
    <t xml:space="preserve">N° Ø5/8" continuas</t>
  </si>
  <si>
    <t xml:space="preserve">L Ø5/8" continua (m)</t>
  </si>
  <si>
    <t xml:space="preserve">N° Ø5/8" hasta empalme 2</t>
  </si>
  <si>
    <t xml:space="preserve">L Ø5/8" a empalme 2 (m)</t>
  </si>
  <si>
    <t xml:space="preserve">N° Ø3/4" piso 3</t>
  </si>
  <si>
    <t xml:space="preserve">L Ø3/4" (m)</t>
  </si>
  <si>
    <t xml:space="preserve">Ø5/8" por col. (kg)</t>
  </si>
  <si>
    <t xml:space="preserve">Ø3/4" por col. (kg)</t>
  </si>
  <si>
    <t xml:space="preserve">Ø5/8" TOTAL (kg)</t>
  </si>
  <si>
    <t xml:space="preserve">Ø3/4" TOTAL (kg)</t>
  </si>
  <si>
    <t xml:space="preserve">Barras desde -1.39 (gancho 0.20 sobre parrilla) hasta +8.35 (gancho 0.20). Empalme 1 Ø5/8" L=0.95 en piso 1. C-2/C-4: cambio a Ø3/4" en piso 3 con empalme 2 L=1.10 al centro de ln piso 3.</t>
  </si>
  <si>
    <t xml:space="preserve">4. ESTRIBOS Ø1/2" Y MONTAJE Ø3/8" (kg)</t>
  </si>
  <si>
    <t xml:space="preserve">N° piso 1</t>
  </si>
  <si>
    <t xml:space="preserve">N° piso 2</t>
  </si>
  <si>
    <t xml:space="preserve">N° piso 3</t>
  </si>
  <si>
    <t xml:space="preserve">N° total por col.</t>
  </si>
  <si>
    <t xml:space="preserve">L estribo ext. (m)</t>
  </si>
  <si>
    <t xml:space="preserve">L pieza interior (m)</t>
  </si>
  <si>
    <t xml:space="preserve">Ø1/2" por col. (kg)</t>
  </si>
  <si>
    <t xml:space="preserve">Ø1/2" TOTAL (kg)</t>
  </si>
  <si>
    <t xml:space="preserve">L montaje Ø3/8" (m)</t>
  </si>
  <si>
    <t xml:space="preserve">Ø3/8" TOTAL (kg) (3 und/col)</t>
  </si>
  <si>
    <t xml:space="preserve">Cada ln: 1@0.05 + 8@0.075 en cada extremo, resto @0.09; empalmes y nudos @0.075 (E-04). Piso 3 de C-2/C-4: el empalme 2 (1.10) ocupa toda la zona central → @0.075.</t>
  </si>
  <si>
    <t xml:space="preserve">Pieza interior: C-1/C-2 gancho suplementario a lo largo del lado de 0.30; C-3 estribo interior ≈0.175×0.22; C-4 estribo interior ≈0.26×0.27 (medidos del dibujo de secciones E-04).</t>
  </si>
  <si>
    <t xml:space="preserve">RESUMEN ACERO COLUMNAS</t>
  </si>
  <si>
    <t xml:space="preserve">Ø1/2" (kg)</t>
  </si>
  <si>
    <t xml:space="preserve">TOTAL (kg)</t>
  </si>
  <si>
    <t xml:space="preserve">MOVIMIENTO DE TIERRAS - Excavación, relleno y eliminación</t>
  </si>
  <si>
    <t xml:space="preserve">Excavación medida a dimensiones netas de los elementos (Norma de Metrados). Relleno hasta NTN ±0.00.</t>
  </si>
  <si>
    <t xml:space="preserve">Concepto</t>
  </si>
  <si>
    <t xml:space="preserve">Referencia</t>
  </si>
  <si>
    <t xml:space="preserve">Excavación zapatas</t>
  </si>
  <si>
    <t xml:space="preserve">Zapatas: área × (Df + solado)</t>
  </si>
  <si>
    <t xml:space="preserve">Excavación vigas de equilibrio VE</t>
  </si>
  <si>
    <t xml:space="preserve">b × (1.50 + tecnopor) × L entre zapatas</t>
  </si>
  <si>
    <t xml:space="preserve">Excavación vigas de conexión VC</t>
  </si>
  <si>
    <t xml:space="preserve">b × 1.50 × L entre zapatas</t>
  </si>
  <si>
    <t xml:space="preserve">EXCAVACIÓN TOTAL</t>
  </si>
  <si>
    <t xml:space="preserve">(-) Solado</t>
  </si>
  <si>
    <t xml:space="preserve">Área × 0.10</t>
  </si>
  <si>
    <t xml:space="preserve">(-) Concreto zapatas</t>
  </si>
  <si>
    <t xml:space="preserve">(-) Concreto vigas de cimentación</t>
  </si>
  <si>
    <t xml:space="preserve">Incluye parte sobre zapatas</t>
  </si>
  <si>
    <t xml:space="preserve">(-) Tecnopor bajo VE</t>
  </si>
  <si>
    <t xml:space="preserve">(-) Columnas bajo NTN (-1.00 a ±0.00)</t>
  </si>
  <si>
    <t xml:space="preserve">RELLENO COMPACTADO CON MATERIAL PROPIO</t>
  </si>
  <si>
    <t xml:space="preserve">Excavación - volumen de elementos</t>
  </si>
  <si>
    <t xml:space="preserve">Material excedente (en banco)</t>
  </si>
  <si>
    <t xml:space="preserve">Esponjamiento</t>
  </si>
  <si>
    <t xml:space="preserve">ELIMINACIÓN DE MATERIAL EXCEDENTE (suelto)</t>
  </si>
  <si>
    <t xml:space="preserve">Excedente × (1 + esponjamiento)</t>
  </si>
  <si>
    <t xml:space="preserve">PRECIOS DE INSUMOS - Lima, octubre 2026 (referenciales, con IGV)</t>
  </si>
  <si>
    <t xml:space="preserve">AZUL = editable. Reemplazar por cotizaciones reales; todo el presupuesto se recalcula.</t>
  </si>
  <si>
    <t xml:space="preserve">Código</t>
  </si>
  <si>
    <t xml:space="preserve">Insumo</t>
  </si>
  <si>
    <t xml:space="preserve">Precio (S/)</t>
  </si>
  <si>
    <t xml:space="preserve">Fuente / supuesto</t>
  </si>
  <si>
    <t xml:space="preserve">b_op</t>
  </si>
  <si>
    <t xml:space="preserve">Jornal básico operario</t>
  </si>
  <si>
    <t xml:space="preserve">día</t>
  </si>
  <si>
    <t xml:space="preserve">Tabla FTCCP-CAPECO 2026 (R.M. 197-2025-TR)</t>
  </si>
  <si>
    <t xml:space="preserve">b_of</t>
  </si>
  <si>
    <t xml:space="preserve">Jornal básico oficial</t>
  </si>
  <si>
    <t xml:space="preserve">Tabla FTCCP-CAPECO 2026</t>
  </si>
  <si>
    <t xml:space="preserve">b_pe</t>
  </si>
  <si>
    <t xml:space="preserve">Jornal básico peón</t>
  </si>
  <si>
    <t xml:space="preserve">ls</t>
  </si>
  <si>
    <t xml:space="preserve">Leyes y beneficios sociales sobre básico</t>
  </si>
  <si>
    <t xml:space="preserve">%</t>
  </si>
  <si>
    <t xml:space="preserve">Supuesto típico (dominical, feriados, vacaciones, CTS, gratificaciones, EsSalud, SCTR, etc.)</t>
  </si>
  <si>
    <t xml:space="preserve">mov</t>
  </si>
  <si>
    <t xml:space="preserve">Movilidad acumulada</t>
  </si>
  <si>
    <t xml:space="preserve">Tabla 2026</t>
  </si>
  <si>
    <t xml:space="preserve">op</t>
  </si>
  <si>
    <t xml:space="preserve">Operario (costo hora-hombre)</t>
  </si>
  <si>
    <t xml:space="preserve">hh</t>
  </si>
  <si>
    <t xml:space="preserve">(básico×(1+LS) + BUC 32% + movilidad)/8</t>
  </si>
  <si>
    <t xml:space="preserve">of</t>
  </si>
  <si>
    <t xml:space="preserve">Oficial (costo hora-hombre)</t>
  </si>
  <si>
    <t xml:space="preserve">(básico×(1+LS) + BUC 30% + movilidad)/8</t>
  </si>
  <si>
    <t xml:space="preserve">pe</t>
  </si>
  <si>
    <t xml:space="preserve">Peón (costo hora-hombre)</t>
  </si>
  <si>
    <t xml:space="preserve">c210</t>
  </si>
  <si>
    <t xml:space="preserve">Concreto premezclado f'c 210 puesto en obra (mixer)</t>
  </si>
  <si>
    <t xml:space="preserve">Rango Lima 2026: S/ 260-415/m³ (concreteras.pe). Cotizar UNICON/Firth/Mixercon/Supermix</t>
  </si>
  <si>
    <t xml:space="preserve">bomba</t>
  </si>
  <si>
    <t xml:space="preserve">Servicio de bomba de concreto</t>
  </si>
  <si>
    <t xml:space="preserve">S/ 35-40/m³, mínimo facturable 20 m³ por vaciado</t>
  </si>
  <si>
    <t xml:space="preserve">bmin</t>
  </si>
  <si>
    <t xml:space="preserve">Mínimo facturable bomba por vaciado</t>
  </si>
  <si>
    <t xml:space="preserve">Referencia concreteras.pe</t>
  </si>
  <si>
    <t xml:space="preserve">dconc</t>
  </si>
  <si>
    <t xml:space="preserve">Desperdicio de concreto</t>
  </si>
  <si>
    <t xml:space="preserve">acero</t>
  </si>
  <si>
    <t xml:space="preserve">Acero corrugado fy 4200 (Aceros Arequipa)</t>
  </si>
  <si>
    <t xml:space="preserve">Varilla 5/8" 9 m S/ 43-55 (≈ S/ 3.1-3.9/kg). Supuesto promedio</t>
  </si>
  <si>
    <t xml:space="preserve">dacero</t>
  </si>
  <si>
    <t xml:space="preserve">Desperdicio de acero</t>
  </si>
  <si>
    <t xml:space="preserve">al16</t>
  </si>
  <si>
    <t xml:space="preserve">Alambre negro N°16</t>
  </si>
  <si>
    <t xml:space="preserve">Supuesto mercado</t>
  </si>
  <si>
    <t xml:space="preserve">al8</t>
  </si>
  <si>
    <t xml:space="preserve">Alambre negro N°8</t>
  </si>
  <si>
    <t xml:space="preserve">clavo</t>
  </si>
  <si>
    <t xml:space="preserve">Clavos para madera c/c 3"</t>
  </si>
  <si>
    <t xml:space="preserve">madera</t>
  </si>
  <si>
    <t xml:space="preserve">Madera tornillo para encofrado</t>
  </si>
  <si>
    <t xml:space="preserve">p2</t>
  </si>
  <si>
    <t xml:space="preserve">cem</t>
  </si>
  <si>
    <t xml:space="preserve">Cemento Portland tipo I (42.5 kg)</t>
  </si>
  <si>
    <t xml:space="preserve">bls</t>
  </si>
  <si>
    <t xml:space="preserve">horm</t>
  </si>
  <si>
    <t xml:space="preserve">Hormigón</t>
  </si>
  <si>
    <t xml:space="preserve">Supuesto mercado Lima</t>
  </si>
  <si>
    <t xml:space="preserve">agua</t>
  </si>
  <si>
    <t xml:space="preserve">Agua</t>
  </si>
  <si>
    <t xml:space="preserve">tecno</t>
  </si>
  <si>
    <t xml:space="preserve">Plancha de tecnopor e = 4" (0.10 m)</t>
  </si>
  <si>
    <t xml:space="preserve">retro</t>
  </si>
  <si>
    <t xml:space="preserve">Retroexcavadora 62-75 HP con operador y combustible</t>
  </si>
  <si>
    <t xml:space="preserve">S/ 150-170/h en Lima (Tremach, Canteracentro)</t>
  </si>
  <si>
    <t xml:space="preserve">rretro</t>
  </si>
  <si>
    <t xml:space="preserve">Rendimiento retroexcavadora en excavación</t>
  </si>
  <si>
    <t xml:space="preserve">m³/h</t>
  </si>
  <si>
    <t xml:space="preserve">Supuesto: zapatas y zanjas con cuidado de niveles</t>
  </si>
  <si>
    <t xml:space="preserve">movil</t>
  </si>
  <si>
    <t xml:space="preserve">volq</t>
  </si>
  <si>
    <t xml:space="preserve">Volquete 15 m³ con botadero autorizado (por viaje)</t>
  </si>
  <si>
    <t xml:space="preserve">Ref. 12-18 m³: S/ 290-570 + IGV (cymchamana). Actualizar</t>
  </si>
  <si>
    <t xml:space="preserve">cvolq</t>
  </si>
  <si>
    <t xml:space="preserve">Capacidad útil volquete</t>
  </si>
  <si>
    <t xml:space="preserve">plancha</t>
  </si>
  <si>
    <t xml:space="preserve">Plancha compactadora 4 HP</t>
  </si>
  <si>
    <t xml:space="preserve">mezc</t>
  </si>
  <si>
    <t xml:space="preserve">Mezcladora de concreto 9-11 p³</t>
  </si>
  <si>
    <t xml:space="preserve">vibr</t>
  </si>
  <si>
    <t xml:space="preserve">Vibrador de concreto 4 HP</t>
  </si>
  <si>
    <t xml:space="preserve">balde</t>
  </si>
  <si>
    <t xml:space="preserve">Ancho de zanja de vigas con cucharón de retro</t>
  </si>
  <si>
    <t xml:space="preserve">Cucharón 24". Las zanjas de VE (0.30) y VC (0.25) salen más anchas</t>
  </si>
  <si>
    <t xml:space="preserve">gg</t>
  </si>
  <si>
    <t xml:space="preserve">Gastos generales (si contrata a un tercero)</t>
  </si>
  <si>
    <t xml:space="preserve">0% si administra la obra usted mismo; típico 10%</t>
  </si>
  <si>
    <t xml:space="preserve">util</t>
  </si>
  <si>
    <t xml:space="preserve">Utilidad (si contrata a un tercero)</t>
  </si>
  <si>
    <t xml:space="preserve">0% si administra usted; típico 8-10%</t>
  </si>
  <si>
    <t xml:space="preserve">ANÁLISIS DE PRECIOS UNITARIOS</t>
  </si>
  <si>
    <t xml:space="preserve">Mano de obra: cantidad = cuadrilla × 8 / rendimiento. Precios con IGV desde la hoja Insumos.</t>
  </si>
  <si>
    <t xml:space="preserve">Excavación con retroexcavadora y perfilado manual de fondo</t>
  </si>
  <si>
    <t xml:space="preserve">Rendimiento (und/día)</t>
  </si>
  <si>
    <t xml:space="preserve">Recurso</t>
  </si>
  <si>
    <t xml:space="preserve">Cuadrilla</t>
  </si>
  <si>
    <t xml:space="preserve">Cantidad</t>
  </si>
  <si>
    <t xml:space="preserve">Peón (perfilado, nivelación de fondo)</t>
  </si>
  <si>
    <t xml:space="preserve">Retroexcavadora con operador</t>
  </si>
  <si>
    <t xml:space="preserve">Herramientas manuales (% MO)</t>
  </si>
  <si>
    <t xml:space="preserve">%MO</t>
  </si>
  <si>
    <t xml:space="preserve">COSTO UNITARIO</t>
  </si>
  <si>
    <t xml:space="preserve">Relleno compactado con material propio (capas 0.20, plancha)</t>
  </si>
  <si>
    <t xml:space="preserve">Oficial</t>
  </si>
  <si>
    <t xml:space="preserve">Peón</t>
  </si>
  <si>
    <t xml:space="preserve">Plancha compactadora</t>
  </si>
  <si>
    <t xml:space="preserve">Eliminación de material excedente (carguío con retro + volquete)</t>
  </si>
  <si>
    <t xml:space="preserve">Volquete 15 m³ con botadero</t>
  </si>
  <si>
    <t xml:space="preserve">Retroexcavadora carguío</t>
  </si>
  <si>
    <t xml:space="preserve">Solado C:H 1:12, e = 0.10 m (mezcladora)</t>
  </si>
  <si>
    <t xml:space="preserve">Operario</t>
  </si>
  <si>
    <t xml:space="preserve">Cemento Portland tipo I</t>
  </si>
  <si>
    <t xml:space="preserve">Mezcladora 9-11 p³</t>
  </si>
  <si>
    <t xml:space="preserve">Concreto premezclado f'c 210 en zapatas y vigas de cimentación (mixer + bomba)</t>
  </si>
  <si>
    <t xml:space="preserve">Peón (vaciado, vibrado, curado)</t>
  </si>
  <si>
    <t xml:space="preserve">Concreto premezclado f'c 210</t>
  </si>
  <si>
    <t xml:space="preserve">Agua para curado</t>
  </si>
  <si>
    <t xml:space="preserve">Bomba de concreto (incluye mínimo 20 m³)</t>
  </si>
  <si>
    <t xml:space="preserve">Vibrador</t>
  </si>
  <si>
    <t xml:space="preserve">Concreto premezclado f'c 210 en columnas (mixer + bomba, 3 vaciados)</t>
  </si>
  <si>
    <t xml:space="preserve">Bomba de concreto (3 vaciados, mínimo 20 m³ c/u)</t>
  </si>
  <si>
    <t xml:space="preserve">Madera tornillo (4 usos)</t>
  </si>
  <si>
    <t xml:space="preserve">Clavos 3"</t>
  </si>
  <si>
    <t xml:space="preserve">Alambre N°8</t>
  </si>
  <si>
    <t xml:space="preserve">Acero fy 4200 en zapatas y vigas de cimentación (habilitado y colocado)</t>
  </si>
  <si>
    <t xml:space="preserve">Acero corrugado</t>
  </si>
  <si>
    <t xml:space="preserve">Alambre N°16</t>
  </si>
  <si>
    <t xml:space="preserve">Acero fy 4200 en columnas (habilitado y colocado)</t>
  </si>
  <si>
    <t xml:space="preserve">Plancha de tecnopor 4"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</si>
</sst>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0"/>
    <numFmt numFmtId="167" formatCode="#,##0.0"/>
    <numFmt numFmtId="168" formatCode="0.0%"/>
    <numFmt numFmtId="169" formatCode="0.000"/>
    <numFmt numFmtId="170" formatCode="0"/>
    <numFmt numFmtId="171" formatCode="0.0"/>
    <numFmt numFmtId="172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4"/>
      <c r="D5" s="6"/>
      <c r="E5" s="6"/>
      <c r="F5" s="6"/>
    </row>
    <row r="6" customFormat="false" ht="15" hidden="false" customHeight="false" outlineLevel="0" collapsed="false">
      <c r="A6" s="7" t="s">
        <v>10</v>
      </c>
      <c r="B6" s="7" t="s">
        <v>11</v>
      </c>
      <c r="C6" s="7" t="s">
        <v>12</v>
      </c>
      <c r="D6" s="8" t="n">
        <f aca="false">Mov_Tierras!B5</f>
        <v>74.856</v>
      </c>
      <c r="E6" s="9"/>
      <c r="F6" s="8" t="str">
        <f aca="false">IF(E6="","",D6*E6)</f>
        <v/>
      </c>
    </row>
    <row r="7" customFormat="false" ht="15" hidden="false" customHeight="false" outlineLevel="0" collapsed="false">
      <c r="A7" s="7" t="s">
        <v>13</v>
      </c>
      <c r="B7" s="7" t="s">
        <v>14</v>
      </c>
      <c r="C7" s="7" t="s">
        <v>12</v>
      </c>
      <c r="D7" s="8" t="n">
        <f aca="false">Mov_Tierras!B6+Mov_Tierras!B7</f>
        <v>14.230125</v>
      </c>
      <c r="E7" s="9"/>
      <c r="F7" s="8" t="str">
        <f aca="false">IF(E7="","",D7*E7)</f>
        <v/>
      </c>
    </row>
    <row r="8" customFormat="false" ht="15" hidden="false" customHeight="false" outlineLevel="0" collapsed="false">
      <c r="A8" s="7" t="s">
        <v>15</v>
      </c>
      <c r="B8" s="7" t="s">
        <v>16</v>
      </c>
      <c r="C8" s="7" t="s">
        <v>12</v>
      </c>
      <c r="D8" s="8" t="n">
        <f aca="false">Mov_Tierras!B14</f>
        <v>50.126925</v>
      </c>
      <c r="E8" s="9"/>
      <c r="F8" s="8" t="str">
        <f aca="false">IF(E8="","",D8*E8)</f>
        <v/>
      </c>
    </row>
    <row r="9" customFormat="false" ht="15" hidden="false" customHeight="false" outlineLevel="0" collapsed="false">
      <c r="A9" s="7" t="s">
        <v>17</v>
      </c>
      <c r="B9" s="7" t="s">
        <v>18</v>
      </c>
      <c r="C9" s="7" t="s">
        <v>12</v>
      </c>
      <c r="D9" s="8" t="n">
        <f aca="false">Mov_Tierras!B17</f>
        <v>48.699</v>
      </c>
      <c r="E9" s="9"/>
      <c r="F9" s="8" t="str">
        <f aca="false">IF(E9="","",D9*E9)</f>
        <v/>
      </c>
    </row>
    <row r="10" customFormat="false" ht="15" hidden="false" customHeight="false" outlineLevel="0" collapsed="false">
      <c r="A10" s="4" t="s">
        <v>19</v>
      </c>
      <c r="B10" s="5" t="s">
        <v>20</v>
      </c>
      <c r="C10" s="4"/>
      <c r="D10" s="6"/>
      <c r="E10" s="6"/>
      <c r="F10" s="6"/>
    </row>
    <row r="11" customFormat="false" ht="15" hidden="false" customHeight="false" outlineLevel="0" collapsed="false">
      <c r="A11" s="7" t="s">
        <v>21</v>
      </c>
      <c r="B11" s="7" t="s">
        <v>22</v>
      </c>
      <c r="C11" s="7" t="s">
        <v>23</v>
      </c>
      <c r="D11" s="8" t="n">
        <f aca="false">Zapatas!J10</f>
        <v>46.785</v>
      </c>
      <c r="E11" s="9"/>
      <c r="F11" s="8" t="str">
        <f aca="false">IF(E11="","",D11*E11)</f>
        <v/>
      </c>
    </row>
    <row r="12" customFormat="false" ht="15" hidden="false" customHeight="false" outlineLevel="0" collapsed="false">
      <c r="A12" s="4" t="s">
        <v>24</v>
      </c>
      <c r="B12" s="5" t="s">
        <v>25</v>
      </c>
      <c r="C12" s="4"/>
      <c r="D12" s="6"/>
      <c r="E12" s="6"/>
      <c r="F12" s="6"/>
    </row>
    <row r="13" customFormat="false" ht="15" hidden="false" customHeight="false" outlineLevel="0" collapsed="false">
      <c r="A13" s="4" t="s">
        <v>26</v>
      </c>
      <c r="B13" s="5" t="s">
        <v>27</v>
      </c>
      <c r="C13" s="4"/>
      <c r="D13" s="6"/>
      <c r="E13" s="6"/>
      <c r="F13" s="6"/>
    </row>
    <row r="14" customFormat="false" ht="15" hidden="false" customHeight="false" outlineLevel="0" collapsed="false">
      <c r="A14" s="7" t="s">
        <v>28</v>
      </c>
      <c r="B14" s="7" t="s">
        <v>29</v>
      </c>
      <c r="C14" s="7" t="s">
        <v>12</v>
      </c>
      <c r="D14" s="8" t="n">
        <f aca="false">Zapatas!I10</f>
        <v>23.3925</v>
      </c>
      <c r="E14" s="9"/>
      <c r="F14" s="8" t="str">
        <f aca="false">IF(E14="","",D14*E14)</f>
        <v/>
      </c>
    </row>
    <row r="15" customFormat="false" ht="15" hidden="false" customHeight="false" outlineLevel="0" collapsed="false">
      <c r="A15" s="7" t="s">
        <v>30</v>
      </c>
      <c r="B15" s="7" t="s">
        <v>31</v>
      </c>
      <c r="C15" s="7" t="s">
        <v>23</v>
      </c>
      <c r="D15" s="8" t="n">
        <f aca="false">Zapatas!L10</f>
        <v>53.4</v>
      </c>
      <c r="E15" s="9"/>
      <c r="F15" s="8" t="str">
        <f aca="false">IF(E15="","",D15*E15)</f>
        <v/>
      </c>
    </row>
    <row r="16" customFormat="false" ht="15" hidden="false" customHeight="false" outlineLevel="0" collapsed="false">
      <c r="A16" s="7" t="s">
        <v>32</v>
      </c>
      <c r="B16" s="7" t="s">
        <v>33</v>
      </c>
      <c r="C16" s="7" t="s">
        <v>34</v>
      </c>
      <c r="D16" s="8" t="n">
        <f aca="false">Zapatas!R10</f>
        <v>822.8704</v>
      </c>
      <c r="E16" s="9"/>
      <c r="F16" s="8" t="str">
        <f aca="false">IF(E16="","",D16*E16)</f>
        <v/>
      </c>
    </row>
    <row r="17" customFormat="false" ht="15" hidden="false" customHeight="false" outlineLevel="0" collapsed="false">
      <c r="A17" s="4" t="s">
        <v>35</v>
      </c>
      <c r="B17" s="5" t="s">
        <v>36</v>
      </c>
      <c r="C17" s="4"/>
      <c r="D17" s="6"/>
      <c r="E17" s="6"/>
      <c r="F17" s="6"/>
    </row>
    <row r="18" customFormat="false" ht="15" hidden="false" customHeight="false" outlineLevel="0" collapsed="false">
      <c r="A18" s="7" t="s">
        <v>37</v>
      </c>
      <c r="B18" s="7" t="s">
        <v>38</v>
      </c>
      <c r="C18" s="7" t="s">
        <v>12</v>
      </c>
      <c r="D18" s="8" t="n">
        <f aca="false">Vigas_Cimentacion!J31</f>
        <v>7.66245</v>
      </c>
      <c r="E18" s="9"/>
      <c r="F18" s="8" t="str">
        <f aca="false">IF(E18="","",D18*E18)</f>
        <v/>
      </c>
    </row>
    <row r="19" customFormat="false" ht="15" hidden="false" customHeight="false" outlineLevel="0" collapsed="false">
      <c r="A19" s="7" t="s">
        <v>39</v>
      </c>
      <c r="B19" s="7" t="s">
        <v>40</v>
      </c>
      <c r="C19" s="7" t="s">
        <v>23</v>
      </c>
      <c r="D19" s="8" t="n">
        <f aca="false">Vigas_Cimentacion!K31</f>
        <v>51.957</v>
      </c>
      <c r="E19" s="9"/>
      <c r="F19" s="8" t="str">
        <f aca="false">IF(E19="","",D19*E19)</f>
        <v/>
      </c>
    </row>
    <row r="20" customFormat="false" ht="15" hidden="false" customHeight="false" outlineLevel="0" collapsed="false">
      <c r="A20" s="7" t="s">
        <v>41</v>
      </c>
      <c r="B20" s="7" t="s">
        <v>42</v>
      </c>
      <c r="C20" s="7" t="s">
        <v>34</v>
      </c>
      <c r="D20" s="8" t="n">
        <f aca="false">Vigas_Cimentacion!W31</f>
        <v>2097.28864</v>
      </c>
      <c r="E20" s="9"/>
      <c r="F20" s="8" t="str">
        <f aca="false">IF(E20="","",D20*E20)</f>
        <v/>
      </c>
    </row>
    <row r="21" customFormat="false" ht="15" hidden="false" customHeight="false" outlineLevel="0" collapsed="false">
      <c r="A21" s="7" t="s">
        <v>43</v>
      </c>
      <c r="B21" s="7" t="s">
        <v>44</v>
      </c>
      <c r="C21" s="7" t="s">
        <v>23</v>
      </c>
      <c r="D21" s="8" t="n">
        <f aca="false">Vigas_Cimentacion!L31</f>
        <v>7.3575</v>
      </c>
      <c r="E21" s="9"/>
      <c r="F21" s="8" t="str">
        <f aca="false">IF(E21="","",D21*E21)</f>
        <v/>
      </c>
    </row>
    <row r="22" customFormat="false" ht="15" hidden="false" customHeight="false" outlineLevel="0" collapsed="false">
      <c r="A22" s="4" t="s">
        <v>45</v>
      </c>
      <c r="B22" s="5" t="s">
        <v>46</v>
      </c>
      <c r="C22" s="4"/>
      <c r="D22" s="6"/>
      <c r="E22" s="6"/>
      <c r="F22" s="6"/>
    </row>
    <row r="23" customFormat="false" ht="15" hidden="false" customHeight="false" outlineLevel="0" collapsed="false">
      <c r="A23" s="7" t="s">
        <v>47</v>
      </c>
      <c r="B23" s="7" t="s">
        <v>48</v>
      </c>
      <c r="C23" s="7" t="s">
        <v>12</v>
      </c>
      <c r="D23" s="8" t="n">
        <f aca="false">Columnas!K16</f>
        <v>23.406</v>
      </c>
      <c r="E23" s="9"/>
      <c r="F23" s="8" t="str">
        <f aca="false">IF(E23="","",D23*E23)</f>
        <v/>
      </c>
    </row>
    <row r="24" customFormat="false" ht="15" hidden="false" customHeight="false" outlineLevel="0" collapsed="false">
      <c r="A24" s="7" t="s">
        <v>49</v>
      </c>
      <c r="B24" s="7" t="s">
        <v>50</v>
      </c>
      <c r="C24" s="7" t="s">
        <v>23</v>
      </c>
      <c r="D24" s="8" t="n">
        <f aca="false">Columnas!K24</f>
        <v>210.97</v>
      </c>
      <c r="E24" s="9"/>
      <c r="F24" s="8" t="str">
        <f aca="false">IF(E24="","",D24*E24)</f>
        <v/>
      </c>
    </row>
    <row r="25" customFormat="false" ht="15" hidden="false" customHeight="false" outlineLevel="0" collapsed="false">
      <c r="A25" s="7" t="s">
        <v>51</v>
      </c>
      <c r="B25" s="7" t="s">
        <v>52</v>
      </c>
      <c r="C25" s="7" t="s">
        <v>34</v>
      </c>
      <c r="D25" s="8" t="n">
        <f aca="false">Columnas!B52</f>
        <v>6742.683</v>
      </c>
      <c r="E25" s="9"/>
      <c r="F25" s="8" t="str">
        <f aca="false">IF(E25="","",D25*E25)</f>
        <v/>
      </c>
    </row>
    <row r="26" customFormat="false" ht="15" hidden="false" customHeight="false" outlineLevel="0" collapsed="false">
      <c r="B26" s="10" t="s">
        <v>53</v>
      </c>
      <c r="F26" s="11" t="n">
        <f aca="false">SUM(F5:F25)</f>
        <v>0</v>
      </c>
    </row>
    <row r="28" customFormat="false" ht="15" hidden="false" customHeight="false" outlineLevel="0" collapsed="false">
      <c r="A28" s="12" t="s">
        <v>54</v>
      </c>
    </row>
    <row r="29" customFormat="false" ht="15" hidden="false" customHeight="false" outlineLevel="0" collapsed="false">
      <c r="B29" s="7" t="s">
        <v>55</v>
      </c>
      <c r="D29" s="13" t="n">
        <f aca="false">Zapatas!I10</f>
        <v>23.3925</v>
      </c>
    </row>
    <row r="30" customFormat="false" ht="15" hidden="false" customHeight="false" outlineLevel="0" collapsed="false">
      <c r="B30" s="7" t="s">
        <v>56</v>
      </c>
      <c r="D30" s="13" t="n">
        <f aca="false">Vigas_Cimentacion!J31</f>
        <v>7.66245</v>
      </c>
    </row>
    <row r="31" customFormat="false" ht="15" hidden="false" customHeight="false" outlineLevel="0" collapsed="false">
      <c r="B31" s="7" t="s">
        <v>57</v>
      </c>
      <c r="D31" s="13" t="n">
        <f aca="false">Columnas!K16</f>
        <v>23.406</v>
      </c>
    </row>
    <row r="32" customFormat="false" ht="15" hidden="false" customHeight="false" outlineLevel="0" collapsed="false">
      <c r="B32" s="10" t="s">
        <v>58</v>
      </c>
      <c r="D32" s="14" t="n">
        <f aca="false">SUM(D29:D31)</f>
        <v>54.46095</v>
      </c>
    </row>
    <row r="34" customFormat="false" ht="15" hidden="false" customHeight="false" outlineLevel="0" collapsed="false">
      <c r="A34" s="12" t="s">
        <v>59</v>
      </c>
    </row>
    <row r="35" customFormat="false" ht="36" hidden="false" customHeight="true" outlineLevel="0" collapsed="false">
      <c r="A35" s="3"/>
      <c r="B35" s="3" t="s">
        <v>60</v>
      </c>
      <c r="C35" s="3" t="s">
        <v>61</v>
      </c>
      <c r="D35" s="3" t="s">
        <v>62</v>
      </c>
      <c r="E35" s="3" t="s">
        <v>63</v>
      </c>
      <c r="F35" s="3" t="s">
        <v>64</v>
      </c>
      <c r="G35" s="3" t="s">
        <v>65</v>
      </c>
    </row>
    <row r="36" customFormat="false" ht="15" hidden="false" customHeight="false" outlineLevel="0" collapsed="false">
      <c r="A36" s="7"/>
      <c r="B36" s="7" t="s">
        <v>55</v>
      </c>
      <c r="C36" s="15" t="n">
        <v>0</v>
      </c>
      <c r="D36" s="15" t="n">
        <v>0</v>
      </c>
      <c r="E36" s="15" t="n">
        <f aca="false">Zapatas!R10</f>
        <v>822.8704</v>
      </c>
      <c r="F36" s="15" t="n">
        <v>0</v>
      </c>
      <c r="G36" s="15" t="n">
        <f aca="false">SUM(C36:F36)</f>
        <v>822.8704</v>
      </c>
    </row>
    <row r="37" customFormat="false" ht="15" hidden="false" customHeight="false" outlineLevel="0" collapsed="false">
      <c r="A37" s="7"/>
      <c r="B37" s="7" t="s">
        <v>56</v>
      </c>
      <c r="C37" s="15" t="n">
        <f aca="false">Vigas_Cimentacion!V31</f>
        <v>468.6136</v>
      </c>
      <c r="D37" s="15" t="n">
        <v>0</v>
      </c>
      <c r="E37" s="15" t="n">
        <f aca="false">Vigas_Cimentacion!U31</f>
        <v>471.83904</v>
      </c>
      <c r="F37" s="15" t="n">
        <f aca="false">Vigas_Cimentacion!T31</f>
        <v>1156.836</v>
      </c>
      <c r="G37" s="15" t="n">
        <f aca="false">SUM(C37:F37)</f>
        <v>2097.28864</v>
      </c>
    </row>
    <row r="38" customFormat="false" ht="15" hidden="false" customHeight="false" outlineLevel="0" collapsed="false">
      <c r="A38" s="7"/>
      <c r="B38" s="7" t="s">
        <v>66</v>
      </c>
      <c r="C38" s="15" t="n">
        <f aca="false">Columnas!M43</f>
        <v>38.22</v>
      </c>
      <c r="D38" s="15" t="n">
        <f aca="false">Columnas!K43</f>
        <v>4164.93952</v>
      </c>
      <c r="E38" s="15" t="n">
        <f aca="false">Columnas!K34</f>
        <v>2224.38848</v>
      </c>
      <c r="F38" s="15" t="n">
        <f aca="false">Columnas!L34</f>
        <v>315.135</v>
      </c>
      <c r="G38" s="15" t="n">
        <f aca="false">SUM(C38:F38)</f>
        <v>6742.683</v>
      </c>
    </row>
    <row r="39" customFormat="false" ht="15" hidden="false" customHeight="false" outlineLevel="0" collapsed="false">
      <c r="A39" s="16"/>
      <c r="B39" s="10" t="s">
        <v>65</v>
      </c>
      <c r="C39" s="17" t="n">
        <f aca="false">SUM(C36:C38)</f>
        <v>506.8336</v>
      </c>
      <c r="D39" s="17" t="n">
        <f aca="false">SUM(D36:D38)</f>
        <v>4164.93952</v>
      </c>
      <c r="E39" s="17" t="n">
        <f aca="false">SUM(E36:E38)</f>
        <v>3519.09792</v>
      </c>
      <c r="F39" s="17" t="n">
        <f aca="false">SUM(F36:F38)</f>
        <v>1471.971</v>
      </c>
      <c r="G39" s="17" t="n">
        <f aca="false">SUM(G36:G38)</f>
        <v>9662.84204</v>
      </c>
    </row>
    <row r="41" customFormat="false" ht="15" hidden="false" customHeight="false" outlineLevel="0" collapsed="false">
      <c r="A41" s="18" t="s">
        <v>67</v>
      </c>
    </row>
    <row r="42" customFormat="false" ht="15" hidden="false" customHeight="false" outlineLevel="0" collapsed="false">
      <c r="A42" s="18" t="s">
        <v>68</v>
      </c>
    </row>
    <row r="43" customFormat="false" ht="15" hidden="false" customHeight="false" outlineLevel="0" collapsed="false">
      <c r="A43" s="18" t="s">
        <v>69</v>
      </c>
    </row>
    <row r="44" customFormat="false" ht="15" hidden="false" customHeight="false" outlineLevel="0" collapsed="false">
      <c r="A44" s="18" t="s">
        <v>70</v>
      </c>
    </row>
    <row r="45" customFormat="false" ht="15" hidden="false" customHeight="false" outlineLevel="0" collapsed="false">
      <c r="A45" s="18" t="s">
        <v>71</v>
      </c>
    </row>
    <row r="46" customFormat="false" ht="15" hidden="false" customHeight="false" outlineLevel="0" collapsed="false">
      <c r="A46" s="18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46"/>
  </cols>
  <sheetData>
    <row r="1" customFormat="false" ht="16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75</v>
      </c>
    </row>
    <row r="5" customFormat="false" ht="15" hidden="false" customHeight="false" outlineLevel="0" collapsed="false">
      <c r="A5" s="4" t="s">
        <v>8</v>
      </c>
      <c r="B5" s="5" t="s">
        <v>76</v>
      </c>
      <c r="C5" s="4"/>
      <c r="D5" s="6"/>
      <c r="E5" s="6"/>
      <c r="F5" s="19" t="n">
        <f aca="false">SUM(F6:F9)</f>
        <v>9615.72173335625</v>
      </c>
      <c r="G5" s="6"/>
    </row>
    <row r="6" customFormat="false" ht="15" hidden="false" customHeight="false" outlineLevel="0" collapsed="false">
      <c r="A6" s="7" t="s">
        <v>10</v>
      </c>
      <c r="B6" s="7" t="s">
        <v>77</v>
      </c>
      <c r="C6" s="7" t="s">
        <v>78</v>
      </c>
      <c r="D6" s="8" t="n">
        <v>1</v>
      </c>
      <c r="E6" s="8" t="n">
        <f aca="false">Insumos!$D$29</f>
        <v>600</v>
      </c>
      <c r="F6" s="8" t="n">
        <f aca="false">D6*E6</f>
        <v>600</v>
      </c>
      <c r="G6" s="7" t="s">
        <v>79</v>
      </c>
    </row>
    <row r="7" customFormat="false" ht="15" hidden="false" customHeight="false" outlineLevel="0" collapsed="false">
      <c r="A7" s="7" t="s">
        <v>13</v>
      </c>
      <c r="B7" s="7" t="s">
        <v>80</v>
      </c>
      <c r="C7" s="7" t="s">
        <v>12</v>
      </c>
      <c r="D7" s="8" t="n">
        <f aca="false">(Mov_Tierras!B5+Insumos!$D$35*(Parametros!$B$15*(Vigas_Cimentacion!G28+Vigas_Cimentacion!G29)+Parametros!$B$16*Vigas_Cimentacion!G30))</f>
        <v>104.2995</v>
      </c>
      <c r="E7" s="8" t="n">
        <f aca="false">APU!$F$10</f>
        <v>18.4308666666667</v>
      </c>
      <c r="F7" s="8" t="n">
        <f aca="false">D7*E7</f>
        <v>1922.3301779</v>
      </c>
      <c r="G7" s="7" t="s">
        <v>81</v>
      </c>
    </row>
    <row r="8" customFormat="false" ht="15" hidden="false" customHeight="false" outlineLevel="0" collapsed="false">
      <c r="A8" s="7" t="s">
        <v>15</v>
      </c>
      <c r="B8" s="7" t="s">
        <v>16</v>
      </c>
      <c r="C8" s="7" t="s">
        <v>12</v>
      </c>
      <c r="D8" s="8" t="n">
        <f aca="false">Mov_Tierras!B14+((Mov_Tierras!B5+Insumos!$D$35*(Parametros!$B$15*(Vigas_Cimentacion!G28+Vigas_Cimentacion!G29)+Parametros!$B$16*Vigas_Cimentacion!G30))-Mov_Tierras!B8)</f>
        <v>65.3403</v>
      </c>
      <c r="E8" s="8" t="n">
        <f aca="false">APU!$F$20</f>
        <v>71.4473541666667</v>
      </c>
      <c r="F8" s="8" t="n">
        <f aca="false">D8*E8</f>
        <v>4668.39155545625</v>
      </c>
      <c r="G8" s="7" t="s">
        <v>82</v>
      </c>
    </row>
    <row r="9" customFormat="false" ht="15" hidden="false" customHeight="false" outlineLevel="0" collapsed="false">
      <c r="A9" s="7" t="s">
        <v>17</v>
      </c>
      <c r="B9" s="7" t="s">
        <v>83</v>
      </c>
      <c r="C9" s="7" t="s">
        <v>84</v>
      </c>
      <c r="D9" s="8" t="n">
        <f aca="false">ROUNDUP(Mov_Tierras!B17/Insumos!$D$31,0)</f>
        <v>4</v>
      </c>
      <c r="E9" s="8" t="n">
        <f aca="false">APU!$F$27</f>
        <v>606.25</v>
      </c>
      <c r="F9" s="8" t="n">
        <f aca="false">D9*E9</f>
        <v>2425</v>
      </c>
      <c r="G9" s="7" t="s">
        <v>85</v>
      </c>
    </row>
    <row r="10" customFormat="false" ht="15" hidden="false" customHeight="false" outlineLevel="0" collapsed="false">
      <c r="A10" s="4" t="s">
        <v>19</v>
      </c>
      <c r="B10" s="5" t="s">
        <v>86</v>
      </c>
      <c r="C10" s="4"/>
      <c r="D10" s="6"/>
      <c r="E10" s="6"/>
      <c r="F10" s="19" t="n">
        <f aca="false">SUM(F11:F11)</f>
        <v>1494.0234552405</v>
      </c>
      <c r="G10" s="6"/>
    </row>
    <row r="11" customFormat="false" ht="15" hidden="false" customHeight="false" outlineLevel="0" collapsed="false">
      <c r="A11" s="7" t="s">
        <v>21</v>
      </c>
      <c r="B11" s="7" t="s">
        <v>22</v>
      </c>
      <c r="C11" s="7" t="s">
        <v>23</v>
      </c>
      <c r="D11" s="8" t="n">
        <f aca="false">Zapatas!J10</f>
        <v>46.785</v>
      </c>
      <c r="E11" s="8" t="n">
        <f aca="false">APU!$F$40</f>
        <v>31.9338133</v>
      </c>
      <c r="F11" s="8" t="n">
        <f aca="false">D11*E11</f>
        <v>1494.0234552405</v>
      </c>
      <c r="G11" s="7" t="s">
        <v>87</v>
      </c>
    </row>
    <row r="12" customFormat="false" ht="15" hidden="false" customHeight="false" outlineLevel="0" collapsed="false">
      <c r="A12" s="4" t="s">
        <v>24</v>
      </c>
      <c r="B12" s="5" t="s">
        <v>88</v>
      </c>
      <c r="C12" s="4"/>
      <c r="D12" s="6"/>
      <c r="E12" s="6"/>
      <c r="F12" s="19" t="n">
        <f aca="false">SUM(F13:F16)</f>
        <v>34205.2248696414</v>
      </c>
      <c r="G12" s="6"/>
    </row>
    <row r="13" customFormat="false" ht="15" hidden="false" customHeight="false" outlineLevel="0" collapsed="false">
      <c r="A13" s="7" t="s">
        <v>26</v>
      </c>
      <c r="B13" s="7" t="s">
        <v>89</v>
      </c>
      <c r="C13" s="7" t="s">
        <v>12</v>
      </c>
      <c r="D13" s="8" t="n">
        <f aca="false">(Zapatas!I10+Vigas_Cimentacion!J31)</f>
        <v>31.05495</v>
      </c>
      <c r="E13" s="8" t="n">
        <f aca="false">APU!$F$53</f>
        <v>479.194852666667</v>
      </c>
      <c r="F13" s="8" t="n">
        <f aca="false">D13*E13</f>
        <v>14881.3721898207</v>
      </c>
      <c r="G13" s="7" t="s">
        <v>90</v>
      </c>
    </row>
    <row r="14" customFormat="false" ht="15" hidden="false" customHeight="false" outlineLevel="0" collapsed="false">
      <c r="A14" s="7" t="s">
        <v>35</v>
      </c>
      <c r="B14" s="7" t="s">
        <v>40</v>
      </c>
      <c r="C14" s="7" t="s">
        <v>23</v>
      </c>
      <c r="D14" s="8" t="n">
        <f aca="false">Vigas_Cimentacion!K31</f>
        <v>51.957</v>
      </c>
      <c r="E14" s="8" t="n">
        <f aca="false">APU!$F$88</f>
        <v>43.5256664285714</v>
      </c>
      <c r="F14" s="8" t="n">
        <f aca="false">D14*E14</f>
        <v>2261.46305062929</v>
      </c>
      <c r="G14" s="7" t="s">
        <v>91</v>
      </c>
    </row>
    <row r="15" customFormat="false" ht="15" hidden="false" customHeight="false" outlineLevel="0" collapsed="false">
      <c r="A15" s="7" t="s">
        <v>45</v>
      </c>
      <c r="B15" s="7" t="s">
        <v>92</v>
      </c>
      <c r="C15" s="7" t="s">
        <v>34</v>
      </c>
      <c r="D15" s="8" t="n">
        <f aca="false">Zapatas!R10+Vigas_Cimentacion!W31</f>
        <v>2920.15904</v>
      </c>
      <c r="E15" s="8" t="n">
        <f aca="false">APU!$F$98</f>
        <v>5.75643732</v>
      </c>
      <c r="F15" s="8" t="n">
        <f aca="false">D15*E15</f>
        <v>16809.7124781914</v>
      </c>
      <c r="G15" s="7"/>
    </row>
    <row r="16" customFormat="false" ht="15" hidden="false" customHeight="false" outlineLevel="0" collapsed="false">
      <c r="A16" s="7" t="s">
        <v>93</v>
      </c>
      <c r="B16" s="7" t="s">
        <v>44</v>
      </c>
      <c r="C16" s="7" t="s">
        <v>23</v>
      </c>
      <c r="D16" s="8" t="n">
        <f aca="false">Vigas_Cimentacion!L31</f>
        <v>7.3575</v>
      </c>
      <c r="E16" s="8" t="n">
        <f aca="false">APU!$F$116</f>
        <v>34.3428</v>
      </c>
      <c r="F16" s="8" t="n">
        <f aca="false">D16*E16</f>
        <v>252.677151</v>
      </c>
      <c r="G16" s="7"/>
    </row>
    <row r="17" customFormat="false" ht="15" hidden="false" customHeight="false" outlineLevel="0" collapsed="false">
      <c r="A17" s="4" t="s">
        <v>94</v>
      </c>
      <c r="B17" s="5" t="s">
        <v>95</v>
      </c>
      <c r="C17" s="4"/>
      <c r="D17" s="6"/>
      <c r="E17" s="6"/>
      <c r="F17" s="19" t="n">
        <f aca="false">SUM(F18:F20)</f>
        <v>66736.1680089603</v>
      </c>
      <c r="G17" s="6"/>
    </row>
    <row r="18" customFormat="false" ht="15" hidden="false" customHeight="false" outlineLevel="0" collapsed="false">
      <c r="A18" s="7" t="s">
        <v>96</v>
      </c>
      <c r="B18" s="7" t="s">
        <v>97</v>
      </c>
      <c r="C18" s="7" t="s">
        <v>12</v>
      </c>
      <c r="D18" s="8" t="n">
        <f aca="false">Columnas!K16</f>
        <v>23.406</v>
      </c>
      <c r="E18" s="8" t="n">
        <f aca="false">APU!$F$66</f>
        <v>609.524942484406</v>
      </c>
      <c r="F18" s="8" t="n">
        <f aca="false">D18*E18</f>
        <v>14266.54080379</v>
      </c>
      <c r="G18" s="7" t="s">
        <v>98</v>
      </c>
    </row>
    <row r="19" customFormat="false" ht="15" hidden="false" customHeight="false" outlineLevel="0" collapsed="false">
      <c r="A19" s="7" t="s">
        <v>99</v>
      </c>
      <c r="B19" s="7" t="s">
        <v>50</v>
      </c>
      <c r="C19" s="7" t="s">
        <v>23</v>
      </c>
      <c r="D19" s="8" t="n">
        <f aca="false">Columnas!K24</f>
        <v>210.97</v>
      </c>
      <c r="E19" s="8" t="n">
        <f aca="false">APU!$F$77</f>
        <v>51.0141108333333</v>
      </c>
      <c r="F19" s="8" t="n">
        <f aca="false">D19*E19</f>
        <v>10762.4469625083</v>
      </c>
      <c r="G19" s="7"/>
    </row>
    <row r="20" customFormat="false" ht="15" hidden="false" customHeight="false" outlineLevel="0" collapsed="false">
      <c r="A20" s="7" t="s">
        <v>100</v>
      </c>
      <c r="B20" s="7" t="s">
        <v>101</v>
      </c>
      <c r="C20" s="7" t="s">
        <v>34</v>
      </c>
      <c r="D20" s="8" t="n">
        <f aca="false">Columnas!B52</f>
        <v>6742.683</v>
      </c>
      <c r="E20" s="8" t="n">
        <f aca="false">APU!$F$108</f>
        <v>6.18554665</v>
      </c>
      <c r="F20" s="8" t="n">
        <f aca="false">D20*E20</f>
        <v>41707.180242662</v>
      </c>
      <c r="G20" s="7"/>
    </row>
    <row r="21" customFormat="false" ht="15" hidden="false" customHeight="false" outlineLevel="0" collapsed="false">
      <c r="B21" s="10" t="s">
        <v>102</v>
      </c>
      <c r="F21" s="11" t="n">
        <f aca="false">F5+F10+F12+F17</f>
        <v>112051.138067198</v>
      </c>
    </row>
    <row r="22" customFormat="false" ht="15" hidden="false" customHeight="false" outlineLevel="0" collapsed="false">
      <c r="B22" s="7" t="s">
        <v>103</v>
      </c>
      <c r="E22" s="20" t="n">
        <f aca="false">Insumos!$D$36</f>
        <v>0</v>
      </c>
      <c r="F22" s="8" t="n">
        <f aca="false">F21*E22</f>
        <v>0</v>
      </c>
    </row>
    <row r="23" customFormat="false" ht="15" hidden="false" customHeight="false" outlineLevel="0" collapsed="false">
      <c r="B23" s="7" t="s">
        <v>104</v>
      </c>
      <c r="E23" s="20" t="n">
        <f aca="false">Insumos!$D$37</f>
        <v>0</v>
      </c>
      <c r="F23" s="8" t="n">
        <f aca="false">F21*E23</f>
        <v>0</v>
      </c>
    </row>
    <row r="24" customFormat="false" ht="15" hidden="false" customHeight="false" outlineLevel="0" collapsed="false">
      <c r="B24" s="10" t="s">
        <v>105</v>
      </c>
      <c r="F24" s="11" t="n">
        <f aca="false">SUM(F21:F23)</f>
        <v>112051.138067198</v>
      </c>
    </row>
    <row r="26" customFormat="false" ht="15" hidden="false" customHeight="false" outlineLevel="0" collapsed="false">
      <c r="A26" s="12" t="s">
        <v>106</v>
      </c>
    </row>
    <row r="27" customFormat="false" ht="15" hidden="false" customHeight="false" outlineLevel="0" collapsed="false">
      <c r="B27" s="7" t="s">
        <v>107</v>
      </c>
      <c r="F27" s="15" t="n">
        <f aca="false">F24/(D13+D18)</f>
        <v>2057.45838196356</v>
      </c>
      <c r="G27" s="7" t="s">
        <v>108</v>
      </c>
    </row>
    <row r="28" customFormat="false" ht="15" hidden="false" customHeight="false" outlineLevel="0" collapsed="false">
      <c r="B28" s="7" t="s">
        <v>109</v>
      </c>
      <c r="F28" s="15" t="n">
        <f aca="false">(D13+D18)*(1+Insumos!$D$16)</f>
        <v>56.0947785</v>
      </c>
      <c r="G28" s="7" t="s">
        <v>12</v>
      </c>
    </row>
    <row r="29" customFormat="false" ht="15" hidden="false" customHeight="false" outlineLevel="0" collapsed="false">
      <c r="B29" s="7" t="s">
        <v>110</v>
      </c>
      <c r="F29" s="15" t="n">
        <f aca="false">ROUNDUP(D13*(1+Insumos!$D$16)/8,0)+ROUNDUP((Columnas!G16+Columnas!H16)*(1+Insumos!$D$16)/8,0)+ROUNDUP(Columnas!I16*(1+Insumos!$D$16)/8,0)+ROUNDUP(Columnas!J16*(1+Insumos!$D$16)/8,0)</f>
        <v>8</v>
      </c>
      <c r="G29" s="7" t="s">
        <v>111</v>
      </c>
    </row>
    <row r="30" customFormat="false" ht="15" hidden="false" customHeight="false" outlineLevel="0" collapsed="false">
      <c r="B30" s="7" t="s">
        <v>112</v>
      </c>
      <c r="F30" s="15" t="n">
        <f aca="false">D7/Insumos!$D$28+D9*Insumos!$D$31/(2*Insumos!$D$28)</f>
        <v>11.191625</v>
      </c>
      <c r="G30" s="7" t="s">
        <v>113</v>
      </c>
    </row>
    <row r="31" customFormat="false" ht="15" hidden="false" customHeight="false" outlineLevel="0" collapsed="false">
      <c r="B31" s="7" t="s">
        <v>114</v>
      </c>
      <c r="F31" s="15" t="n">
        <f aca="false">(D15+D20)*(1+Insumos!$D$18)</f>
        <v>10145.984142</v>
      </c>
      <c r="G31" s="7" t="s">
        <v>34</v>
      </c>
    </row>
    <row r="33" customFormat="false" ht="15" hidden="false" customHeight="false" outlineLevel="0" collapsed="false">
      <c r="A33" s="18" t="s">
        <v>67</v>
      </c>
    </row>
    <row r="34" customFormat="false" ht="15" hidden="false" customHeight="false" outlineLevel="0" collapsed="false">
      <c r="A34" s="18" t="s">
        <v>115</v>
      </c>
    </row>
    <row r="35" customFormat="false" ht="15" hidden="false" customHeight="false" outlineLevel="0" collapsed="false">
      <c r="A35" s="18" t="s">
        <v>116</v>
      </c>
    </row>
    <row r="36" customFormat="false" ht="15" hidden="false" customHeight="false" outlineLevel="0" collapsed="false">
      <c r="A36" s="18" t="s">
        <v>117</v>
      </c>
    </row>
    <row r="37" customFormat="false" ht="15" hidden="false" customHeight="false" outlineLevel="0" collapsed="false">
      <c r="A37" s="18" t="s">
        <v>118</v>
      </c>
    </row>
    <row r="38" customFormat="false" ht="15" hidden="false" customHeight="false" outlineLevel="0" collapsed="false">
      <c r="A38" s="18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6" hidden="false" customHeight="true" outlineLevel="0" collapsed="false">
      <c r="A4" s="3" t="s">
        <v>122</v>
      </c>
      <c r="B4" s="3" t="s">
        <v>123</v>
      </c>
      <c r="C4" s="3" t="s">
        <v>4</v>
      </c>
      <c r="D4" s="3" t="s">
        <v>124</v>
      </c>
    </row>
    <row r="5" customFormat="false" ht="15" hidden="false" customHeight="false" outlineLevel="0" collapsed="false">
      <c r="A5" s="7" t="s">
        <v>125</v>
      </c>
      <c r="B5" s="21" t="n">
        <v>0.56</v>
      </c>
      <c r="C5" s="7" t="s">
        <v>126</v>
      </c>
      <c r="D5" s="7" t="s">
        <v>127</v>
      </c>
    </row>
    <row r="6" customFormat="false" ht="15" hidden="false" customHeight="false" outlineLevel="0" collapsed="false">
      <c r="A6" s="7" t="s">
        <v>128</v>
      </c>
      <c r="B6" s="21" t="n">
        <v>0.994</v>
      </c>
      <c r="C6" s="7" t="s">
        <v>126</v>
      </c>
      <c r="D6" s="7" t="s">
        <v>127</v>
      </c>
    </row>
    <row r="7" customFormat="false" ht="15" hidden="false" customHeight="false" outlineLevel="0" collapsed="false">
      <c r="A7" s="7" t="s">
        <v>129</v>
      </c>
      <c r="B7" s="21" t="n">
        <v>1.552</v>
      </c>
      <c r="C7" s="7" t="s">
        <v>126</v>
      </c>
      <c r="D7" s="7" t="s">
        <v>127</v>
      </c>
    </row>
    <row r="8" customFormat="false" ht="15" hidden="false" customHeight="false" outlineLevel="0" collapsed="false">
      <c r="A8" s="7" t="s">
        <v>130</v>
      </c>
      <c r="B8" s="21" t="n">
        <v>2.235</v>
      </c>
      <c r="C8" s="7" t="s">
        <v>126</v>
      </c>
      <c r="D8" s="7" t="s">
        <v>127</v>
      </c>
    </row>
    <row r="9" customFormat="false" ht="15" hidden="false" customHeight="false" outlineLevel="0" collapsed="false">
      <c r="A9" s="7" t="s">
        <v>131</v>
      </c>
      <c r="B9" s="21" t="n">
        <v>0.25</v>
      </c>
      <c r="C9" s="7"/>
      <c r="D9" s="7" t="s">
        <v>132</v>
      </c>
    </row>
    <row r="10" customFormat="false" ht="15" hidden="false" customHeight="false" outlineLevel="0" collapsed="false">
      <c r="A10" s="7" t="s">
        <v>133</v>
      </c>
      <c r="B10" s="21" t="n">
        <v>-1.5</v>
      </c>
      <c r="C10" s="7" t="s">
        <v>134</v>
      </c>
      <c r="D10" s="7" t="s">
        <v>135</v>
      </c>
    </row>
    <row r="11" customFormat="false" ht="15" hidden="false" customHeight="false" outlineLevel="0" collapsed="false">
      <c r="A11" s="7" t="s">
        <v>136</v>
      </c>
      <c r="B11" s="21" t="n">
        <v>0.5</v>
      </c>
      <c r="C11" s="7" t="s">
        <v>134</v>
      </c>
      <c r="D11" s="7" t="s">
        <v>137</v>
      </c>
    </row>
    <row r="12" customFormat="false" ht="15" hidden="false" customHeight="false" outlineLevel="0" collapsed="false">
      <c r="A12" s="7" t="s">
        <v>138</v>
      </c>
      <c r="B12" s="21" t="n">
        <v>0.1</v>
      </c>
      <c r="C12" s="7" t="s">
        <v>134</v>
      </c>
      <c r="D12" s="7" t="s">
        <v>139</v>
      </c>
    </row>
    <row r="13" customFormat="false" ht="15" hidden="false" customHeight="false" outlineLevel="0" collapsed="false">
      <c r="A13" s="7" t="s">
        <v>140</v>
      </c>
      <c r="B13" s="21" t="n">
        <v>0.1</v>
      </c>
      <c r="C13" s="7" t="s">
        <v>134</v>
      </c>
      <c r="D13" s="7" t="s">
        <v>141</v>
      </c>
    </row>
    <row r="14" customFormat="false" ht="15" hidden="false" customHeight="false" outlineLevel="0" collapsed="false">
      <c r="A14" s="7" t="s">
        <v>142</v>
      </c>
      <c r="B14" s="22" t="n">
        <f aca="false">-Parametros!$B$10+Parametros!$B$12</f>
        <v>1.6</v>
      </c>
      <c r="C14" s="7" t="s">
        <v>134</v>
      </c>
      <c r="D14" s="7" t="s">
        <v>143</v>
      </c>
    </row>
    <row r="15" customFormat="false" ht="15" hidden="false" customHeight="false" outlineLevel="0" collapsed="false">
      <c r="A15" s="7" t="s">
        <v>144</v>
      </c>
      <c r="B15" s="22" t="n">
        <f aca="false">-Parametros!$B$10+Parametros!$B$13</f>
        <v>1.6</v>
      </c>
      <c r="C15" s="7" t="s">
        <v>134</v>
      </c>
      <c r="D15" s="7" t="s">
        <v>145</v>
      </c>
    </row>
    <row r="16" customFormat="false" ht="15" hidden="false" customHeight="false" outlineLevel="0" collapsed="false">
      <c r="A16" s="7" t="s">
        <v>146</v>
      </c>
      <c r="B16" s="22" t="n">
        <f aca="false">-Parametros!$B$10</f>
        <v>1.5</v>
      </c>
      <c r="C16" s="7" t="s">
        <v>134</v>
      </c>
      <c r="D16" s="7" t="s">
        <v>147</v>
      </c>
    </row>
    <row r="17" customFormat="false" ht="15" hidden="false" customHeight="false" outlineLevel="0" collapsed="false">
      <c r="A17" s="7" t="s">
        <v>148</v>
      </c>
      <c r="B17" s="21" t="n">
        <v>-1</v>
      </c>
      <c r="C17" s="7" t="s">
        <v>134</v>
      </c>
      <c r="D17" s="7" t="s">
        <v>149</v>
      </c>
    </row>
    <row r="18" customFormat="false" ht="15" hidden="false" customHeight="false" outlineLevel="0" collapsed="false">
      <c r="A18" s="7" t="s">
        <v>150</v>
      </c>
      <c r="B18" s="21" t="n">
        <v>2.8</v>
      </c>
      <c r="C18" s="7" t="s">
        <v>134</v>
      </c>
      <c r="D18" s="7" t="s">
        <v>151</v>
      </c>
    </row>
    <row r="19" customFormat="false" ht="15" hidden="false" customHeight="false" outlineLevel="0" collapsed="false">
      <c r="A19" s="7" t="s">
        <v>152</v>
      </c>
      <c r="B19" s="21" t="n">
        <v>5.6</v>
      </c>
      <c r="C19" s="7" t="s">
        <v>134</v>
      </c>
      <c r="D19" s="7" t="s">
        <v>151</v>
      </c>
    </row>
    <row r="20" customFormat="false" ht="15" hidden="false" customHeight="false" outlineLevel="0" collapsed="false">
      <c r="A20" s="7" t="s">
        <v>153</v>
      </c>
      <c r="B20" s="21" t="n">
        <v>8.4</v>
      </c>
      <c r="C20" s="7" t="s">
        <v>134</v>
      </c>
      <c r="D20" s="7" t="s">
        <v>151</v>
      </c>
    </row>
    <row r="21" customFormat="false" ht="15" hidden="false" customHeight="false" outlineLevel="0" collapsed="false">
      <c r="A21" s="7" t="s">
        <v>154</v>
      </c>
      <c r="B21" s="21" t="n">
        <v>0.5</v>
      </c>
      <c r="C21" s="7" t="s">
        <v>134</v>
      </c>
      <c r="D21" s="7" t="s">
        <v>155</v>
      </c>
    </row>
    <row r="22" customFormat="false" ht="15" hidden="false" customHeight="false" outlineLevel="0" collapsed="false">
      <c r="A22" s="7" t="s">
        <v>156</v>
      </c>
      <c r="B22" s="21" t="n">
        <v>0.04</v>
      </c>
      <c r="C22" s="7" t="s">
        <v>134</v>
      </c>
      <c r="D22" s="7" t="s">
        <v>157</v>
      </c>
    </row>
    <row r="23" customFormat="false" ht="15" hidden="false" customHeight="false" outlineLevel="0" collapsed="false">
      <c r="A23" s="7" t="s">
        <v>158</v>
      </c>
      <c r="B23" s="21" t="n">
        <v>0.1</v>
      </c>
      <c r="C23" s="7" t="s">
        <v>134</v>
      </c>
      <c r="D23" s="7" t="s">
        <v>159</v>
      </c>
    </row>
    <row r="24" customFormat="false" ht="15" hidden="false" customHeight="false" outlineLevel="0" collapsed="false">
      <c r="A24" s="7" t="s">
        <v>160</v>
      </c>
      <c r="B24" s="21" t="n">
        <v>0.075</v>
      </c>
      <c r="C24" s="7" t="s">
        <v>134</v>
      </c>
      <c r="D24" s="7" t="s">
        <v>161</v>
      </c>
    </row>
    <row r="25" customFormat="false" ht="15" hidden="false" customHeight="false" outlineLevel="0" collapsed="false">
      <c r="A25" s="7" t="s">
        <v>162</v>
      </c>
      <c r="B25" s="21" t="n">
        <v>-1.39</v>
      </c>
      <c r="C25" s="7" t="s">
        <v>134</v>
      </c>
      <c r="D25" s="7" t="s">
        <v>163</v>
      </c>
    </row>
    <row r="26" customFormat="false" ht="15" hidden="false" customHeight="false" outlineLevel="0" collapsed="false">
      <c r="A26" s="7" t="s">
        <v>164</v>
      </c>
      <c r="B26" s="21" t="n">
        <v>8.35</v>
      </c>
      <c r="C26" s="7" t="s">
        <v>134</v>
      </c>
      <c r="D26" s="7" t="s">
        <v>165</v>
      </c>
    </row>
    <row r="27" customFormat="false" ht="15" hidden="false" customHeight="false" outlineLevel="0" collapsed="false">
      <c r="A27" s="7" t="s">
        <v>166</v>
      </c>
      <c r="B27" s="21" t="n">
        <v>0.2</v>
      </c>
      <c r="C27" s="7" t="s">
        <v>134</v>
      </c>
      <c r="D27" s="7" t="s">
        <v>167</v>
      </c>
    </row>
    <row r="28" customFormat="false" ht="15" hidden="false" customHeight="false" outlineLevel="0" collapsed="false">
      <c r="A28" s="7" t="s">
        <v>168</v>
      </c>
      <c r="B28" s="21" t="n">
        <v>0.95</v>
      </c>
      <c r="C28" s="7" t="s">
        <v>134</v>
      </c>
      <c r="D28" s="7" t="s">
        <v>169</v>
      </c>
    </row>
    <row r="29" customFormat="false" ht="15" hidden="false" customHeight="false" outlineLevel="0" collapsed="false">
      <c r="A29" s="7" t="s">
        <v>170</v>
      </c>
      <c r="B29" s="21" t="n">
        <v>1.1</v>
      </c>
      <c r="C29" s="7" t="s">
        <v>134</v>
      </c>
      <c r="D29" s="7" t="s">
        <v>169</v>
      </c>
    </row>
    <row r="30" customFormat="false" ht="15" hidden="false" customHeight="false" outlineLevel="0" collapsed="false">
      <c r="A30" s="7" t="s">
        <v>171</v>
      </c>
      <c r="B30" s="21" t="n">
        <v>9</v>
      </c>
      <c r="C30" s="7" t="s">
        <v>172</v>
      </c>
      <c r="D30" s="7" t="s">
        <v>173</v>
      </c>
    </row>
    <row r="31" customFormat="false" ht="15" hidden="false" customHeight="false" outlineLevel="0" collapsed="false">
      <c r="A31" s="7" t="s">
        <v>174</v>
      </c>
      <c r="B31" s="21" t="n">
        <v>0.65</v>
      </c>
      <c r="C31" s="7" t="s">
        <v>134</v>
      </c>
      <c r="D31" s="7" t="s">
        <v>175</v>
      </c>
    </row>
    <row r="32" customFormat="false" ht="15" hidden="false" customHeight="false" outlineLevel="0" collapsed="false">
      <c r="A32" s="7" t="s">
        <v>176</v>
      </c>
      <c r="B32" s="21" t="n">
        <v>0.075</v>
      </c>
      <c r="C32" s="7" t="s">
        <v>134</v>
      </c>
      <c r="D32" s="7" t="s">
        <v>173</v>
      </c>
    </row>
    <row r="33" customFormat="false" ht="15" hidden="false" customHeight="false" outlineLevel="0" collapsed="false">
      <c r="A33" s="7" t="s">
        <v>177</v>
      </c>
      <c r="B33" s="21" t="n">
        <v>0.09</v>
      </c>
      <c r="C33" s="7" t="s">
        <v>134</v>
      </c>
      <c r="D33" s="7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6" min="13" style="0" width="8"/>
    <col collapsed="false" customWidth="true" hidden="false" outlineLevel="0" max="17" min="17" style="0" width="10"/>
    <col collapsed="false" customWidth="true" hidden="false" outlineLevel="0" max="19" min="18" style="0" width="11"/>
  </cols>
  <sheetData>
    <row r="1" customFormat="false" ht="16.1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4" customFormat="false" ht="36" hidden="false" customHeight="true" outlineLevel="0" collapsed="false">
      <c r="A4" s="3" t="s">
        <v>180</v>
      </c>
      <c r="B4" s="3" t="s">
        <v>66</v>
      </c>
      <c r="C4" s="3" t="s">
        <v>181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186</v>
      </c>
      <c r="I4" s="3" t="s">
        <v>187</v>
      </c>
      <c r="J4" s="3" t="s">
        <v>188</v>
      </c>
      <c r="K4" s="3" t="s">
        <v>189</v>
      </c>
      <c r="L4" s="3" t="s">
        <v>190</v>
      </c>
      <c r="M4" s="3" t="s">
        <v>191</v>
      </c>
      <c r="N4" s="3" t="s">
        <v>192</v>
      </c>
      <c r="O4" s="3" t="s">
        <v>193</v>
      </c>
      <c r="P4" s="3" t="s">
        <v>194</v>
      </c>
      <c r="Q4" s="3" t="s">
        <v>195</v>
      </c>
      <c r="R4" s="3" t="s">
        <v>196</v>
      </c>
      <c r="S4" s="3" t="s">
        <v>197</v>
      </c>
    </row>
    <row r="5" customFormat="false" ht="15" hidden="false" customHeight="false" outlineLevel="0" collapsed="false">
      <c r="A5" s="7" t="s">
        <v>198</v>
      </c>
      <c r="B5" s="7" t="s">
        <v>199</v>
      </c>
      <c r="C5" s="23" t="n">
        <v>1</v>
      </c>
      <c r="D5" s="24" t="n">
        <v>2.2</v>
      </c>
      <c r="E5" s="24" t="n">
        <v>2.2</v>
      </c>
      <c r="F5" s="13" t="n">
        <f aca="false">Parametros!$B$11</f>
        <v>0.5</v>
      </c>
      <c r="G5" s="22" t="n">
        <f aca="false">D5*E5</f>
        <v>4.84</v>
      </c>
      <c r="H5" s="22" t="n">
        <f aca="false">G5*F5</f>
        <v>2.42</v>
      </c>
      <c r="I5" s="22" t="n">
        <f aca="false">H5*C5</f>
        <v>2.42</v>
      </c>
      <c r="J5" s="22" t="n">
        <f aca="false">G5*C5</f>
        <v>4.84</v>
      </c>
      <c r="K5" s="22" t="n">
        <f aca="false">2*(D5+E5)*F5</f>
        <v>4.4</v>
      </c>
      <c r="L5" s="22" t="n">
        <f aca="false">K5*C5</f>
        <v>4.4</v>
      </c>
      <c r="M5" s="25" t="n">
        <v>11</v>
      </c>
      <c r="N5" s="24" t="n">
        <v>2.45</v>
      </c>
      <c r="O5" s="25" t="n">
        <v>11</v>
      </c>
      <c r="P5" s="24" t="n">
        <v>2.45</v>
      </c>
      <c r="Q5" s="26" t="n">
        <f aca="false">(M5*N5+O5*P5)*Parametros!$B$7</f>
        <v>83.6528</v>
      </c>
      <c r="R5" s="26" t="n">
        <f aca="false">Q5*C5</f>
        <v>83.6528</v>
      </c>
      <c r="S5" s="22" t="n">
        <f aca="false">G5*Parametros!$B$14*C5</f>
        <v>7.744</v>
      </c>
    </row>
    <row r="6" customFormat="false" ht="15" hidden="false" customHeight="false" outlineLevel="0" collapsed="false">
      <c r="A6" s="7" t="s">
        <v>200</v>
      </c>
      <c r="B6" s="7" t="s">
        <v>201</v>
      </c>
      <c r="C6" s="23" t="n">
        <v>2</v>
      </c>
      <c r="D6" s="24" t="n">
        <v>1.95</v>
      </c>
      <c r="E6" s="24" t="n">
        <v>1.95</v>
      </c>
      <c r="F6" s="13" t="n">
        <f aca="false">Parametros!$B$11</f>
        <v>0.5</v>
      </c>
      <c r="G6" s="22" t="n">
        <f aca="false">D6*E6</f>
        <v>3.8025</v>
      </c>
      <c r="H6" s="22" t="n">
        <f aca="false">G6*F6</f>
        <v>1.90125</v>
      </c>
      <c r="I6" s="22" t="n">
        <f aca="false">H6*C6</f>
        <v>3.8025</v>
      </c>
      <c r="J6" s="22" t="n">
        <f aca="false">G6*C6</f>
        <v>7.605</v>
      </c>
      <c r="K6" s="22" t="n">
        <f aca="false">2*(D6+E6)*F6</f>
        <v>3.9</v>
      </c>
      <c r="L6" s="22" t="n">
        <f aca="false">K6*C6</f>
        <v>7.8</v>
      </c>
      <c r="M6" s="25" t="n">
        <v>10</v>
      </c>
      <c r="N6" s="24" t="n">
        <v>2.2</v>
      </c>
      <c r="O6" s="25" t="n">
        <v>10</v>
      </c>
      <c r="P6" s="24" t="n">
        <v>2.2</v>
      </c>
      <c r="Q6" s="26" t="n">
        <f aca="false">(M6*N6+O6*P6)*Parametros!$B$7</f>
        <v>68.288</v>
      </c>
      <c r="R6" s="26" t="n">
        <f aca="false">Q6*C6</f>
        <v>136.576</v>
      </c>
      <c r="S6" s="22" t="n">
        <f aca="false">G6*Parametros!$B$14*C6</f>
        <v>12.168</v>
      </c>
    </row>
    <row r="7" customFormat="false" ht="15" hidden="false" customHeight="false" outlineLevel="0" collapsed="false">
      <c r="A7" s="7" t="s">
        <v>202</v>
      </c>
      <c r="B7" s="7" t="s">
        <v>203</v>
      </c>
      <c r="C7" s="23" t="n">
        <v>2</v>
      </c>
      <c r="D7" s="24" t="n">
        <v>1.4</v>
      </c>
      <c r="E7" s="24" t="n">
        <v>2.2</v>
      </c>
      <c r="F7" s="13" t="n">
        <f aca="false">Parametros!$B$11</f>
        <v>0.5</v>
      </c>
      <c r="G7" s="22" t="n">
        <f aca="false">D7*E7</f>
        <v>3.08</v>
      </c>
      <c r="H7" s="22" t="n">
        <f aca="false">G7*F7</f>
        <v>1.54</v>
      </c>
      <c r="I7" s="22" t="n">
        <f aca="false">H7*C7</f>
        <v>3.08</v>
      </c>
      <c r="J7" s="22" t="n">
        <f aca="false">G7*C7</f>
        <v>6.16</v>
      </c>
      <c r="K7" s="22" t="n">
        <f aca="false">2*(D7+E7)*F7</f>
        <v>3.6</v>
      </c>
      <c r="L7" s="22" t="n">
        <f aca="false">K7*C7</f>
        <v>7.2</v>
      </c>
      <c r="M7" s="25" t="n">
        <v>11</v>
      </c>
      <c r="N7" s="24" t="n">
        <v>1.65</v>
      </c>
      <c r="O7" s="25" t="n">
        <v>7</v>
      </c>
      <c r="P7" s="24" t="n">
        <v>2.45</v>
      </c>
      <c r="Q7" s="26" t="n">
        <f aca="false">(M7*N7+O7*P7)*Parametros!$B$7</f>
        <v>54.7856</v>
      </c>
      <c r="R7" s="26" t="n">
        <f aca="false">Q7*C7</f>
        <v>109.5712</v>
      </c>
      <c r="S7" s="22" t="n">
        <f aca="false">G7*Parametros!$B$14*C7</f>
        <v>9.856</v>
      </c>
    </row>
    <row r="8" customFormat="false" ht="15" hidden="false" customHeight="false" outlineLevel="0" collapsed="false">
      <c r="A8" s="7" t="s">
        <v>204</v>
      </c>
      <c r="B8" s="7" t="s">
        <v>205</v>
      </c>
      <c r="C8" s="23" t="n">
        <v>6</v>
      </c>
      <c r="D8" s="24" t="n">
        <v>1.4</v>
      </c>
      <c r="E8" s="24" t="n">
        <v>2.1</v>
      </c>
      <c r="F8" s="13" t="n">
        <f aca="false">Parametros!$B$11</f>
        <v>0.5</v>
      </c>
      <c r="G8" s="22" t="n">
        <f aca="false">D8*E8</f>
        <v>2.94</v>
      </c>
      <c r="H8" s="22" t="n">
        <f aca="false">G8*F8</f>
        <v>1.47</v>
      </c>
      <c r="I8" s="22" t="n">
        <f aca="false">H8*C8</f>
        <v>8.82</v>
      </c>
      <c r="J8" s="22" t="n">
        <f aca="false">G8*C8</f>
        <v>17.64</v>
      </c>
      <c r="K8" s="22" t="n">
        <f aca="false">2*(D8+E8)*F8</f>
        <v>3.5</v>
      </c>
      <c r="L8" s="22" t="n">
        <f aca="false">K8*C8</f>
        <v>21</v>
      </c>
      <c r="M8" s="25" t="n">
        <v>10</v>
      </c>
      <c r="N8" s="24" t="n">
        <v>1.65</v>
      </c>
      <c r="O8" s="25" t="n">
        <v>7</v>
      </c>
      <c r="P8" s="24" t="n">
        <v>2.35</v>
      </c>
      <c r="Q8" s="26" t="n">
        <f aca="false">(M8*N8+O8*P8)*Parametros!$B$7</f>
        <v>51.1384</v>
      </c>
      <c r="R8" s="26" t="n">
        <f aca="false">Q8*C8</f>
        <v>306.8304</v>
      </c>
      <c r="S8" s="22" t="n">
        <f aca="false">G8*Parametros!$B$14*C8</f>
        <v>28.224</v>
      </c>
    </row>
    <row r="9" customFormat="false" ht="15" hidden="false" customHeight="false" outlineLevel="0" collapsed="false">
      <c r="A9" s="7" t="s">
        <v>206</v>
      </c>
      <c r="B9" s="7" t="s">
        <v>207</v>
      </c>
      <c r="C9" s="23" t="n">
        <v>4</v>
      </c>
      <c r="D9" s="24" t="n">
        <v>1.55</v>
      </c>
      <c r="E9" s="24" t="n">
        <v>1.7</v>
      </c>
      <c r="F9" s="13" t="n">
        <f aca="false">Parametros!$B$11</f>
        <v>0.5</v>
      </c>
      <c r="G9" s="22" t="n">
        <f aca="false">D9*E9</f>
        <v>2.635</v>
      </c>
      <c r="H9" s="22" t="n">
        <f aca="false">G9*F9</f>
        <v>1.3175</v>
      </c>
      <c r="I9" s="22" t="n">
        <f aca="false">H9*C9</f>
        <v>5.27</v>
      </c>
      <c r="J9" s="22" t="n">
        <f aca="false">G9*C9</f>
        <v>10.54</v>
      </c>
      <c r="K9" s="22" t="n">
        <f aca="false">2*(D9+E9)*F9</f>
        <v>3.25</v>
      </c>
      <c r="L9" s="22" t="n">
        <f aca="false">K9*C9</f>
        <v>13</v>
      </c>
      <c r="M9" s="25" t="n">
        <v>8</v>
      </c>
      <c r="N9" s="24" t="n">
        <v>1.8</v>
      </c>
      <c r="O9" s="25" t="n">
        <v>8</v>
      </c>
      <c r="P9" s="24" t="n">
        <v>1.95</v>
      </c>
      <c r="Q9" s="26" t="n">
        <f aca="false">(M9*N9+O9*P9)*Parametros!$B$7</f>
        <v>46.56</v>
      </c>
      <c r="R9" s="26" t="n">
        <f aca="false">Q9*C9</f>
        <v>186.24</v>
      </c>
      <c r="S9" s="22" t="n">
        <f aca="false">G9*Parametros!$B$14*C9</f>
        <v>16.864</v>
      </c>
    </row>
    <row r="10" customFormat="false" ht="15" hidden="false" customHeight="false" outlineLevel="0" collapsed="false">
      <c r="A10" s="10" t="s">
        <v>65</v>
      </c>
      <c r="B10" s="16"/>
      <c r="C10" s="27" t="n">
        <f aca="false">SUM(C5:C9)</f>
        <v>15</v>
      </c>
      <c r="I10" s="14" t="n">
        <f aca="false">SUM(I5:I9)</f>
        <v>23.3925</v>
      </c>
      <c r="J10" s="14" t="n">
        <f aca="false">SUM(J5:J9)</f>
        <v>46.785</v>
      </c>
      <c r="L10" s="14" t="n">
        <f aca="false">SUM(L5:L9)</f>
        <v>53.4</v>
      </c>
      <c r="R10" s="14" t="n">
        <f aca="false">SUM(R5:R9)</f>
        <v>822.8704</v>
      </c>
      <c r="S10" s="14" t="n">
        <f aca="false">SUM(S5:S9)</f>
        <v>74.856</v>
      </c>
    </row>
    <row r="12" customFormat="false" ht="15" hidden="false" customHeight="false" outlineLevel="0" collapsed="false">
      <c r="A12" s="18" t="s">
        <v>208</v>
      </c>
    </row>
    <row r="13" customFormat="false" ht="15" hidden="false" customHeight="false" outlineLevel="0" collapsed="false">
      <c r="A13" s="18" t="s">
        <v>209</v>
      </c>
    </row>
    <row r="14" customFormat="false" ht="15" hidden="false" customHeight="false" outlineLevel="0" collapsed="false">
      <c r="A14" s="18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5" min="4" style="0" width="6"/>
    <col collapsed="false" customWidth="true" hidden="false" outlineLevel="0" max="8" min="6" style="0" width="9"/>
    <col collapsed="false" customWidth="true" hidden="false" outlineLevel="0" max="9" min="9" style="0" width="8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7" min="16" style="0" width="6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2" min="20" style="0" width="9"/>
    <col collapsed="false" customWidth="true" hidden="false" outlineLevel="0" max="23" min="23" style="0" width="10"/>
  </cols>
  <sheetData>
    <row r="1" customFormat="false" ht="16.1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36" hidden="false" customHeight="true" outlineLevel="0" collapsed="false">
      <c r="A4" s="3" t="s">
        <v>213</v>
      </c>
      <c r="B4" s="3" t="s">
        <v>180</v>
      </c>
      <c r="C4" s="3" t="s">
        <v>214</v>
      </c>
      <c r="D4" s="3" t="s">
        <v>215</v>
      </c>
      <c r="E4" s="3" t="s">
        <v>184</v>
      </c>
      <c r="F4" s="3" t="s">
        <v>216</v>
      </c>
      <c r="G4" s="3" t="s">
        <v>217</v>
      </c>
      <c r="H4" s="3" t="s">
        <v>218</v>
      </c>
      <c r="I4" s="3" t="s">
        <v>219</v>
      </c>
      <c r="J4" s="3" t="s">
        <v>187</v>
      </c>
      <c r="K4" s="3" t="s">
        <v>190</v>
      </c>
      <c r="L4" s="3" t="s">
        <v>220</v>
      </c>
      <c r="M4" s="3" t="s">
        <v>221</v>
      </c>
      <c r="N4" s="3" t="s">
        <v>197</v>
      </c>
      <c r="O4" s="3" t="s">
        <v>222</v>
      </c>
      <c r="P4" s="3" t="s">
        <v>223</v>
      </c>
      <c r="Q4" s="3" t="s">
        <v>224</v>
      </c>
      <c r="R4" s="3" t="s">
        <v>225</v>
      </c>
      <c r="S4" s="3" t="s">
        <v>226</v>
      </c>
      <c r="T4" s="3" t="s">
        <v>227</v>
      </c>
      <c r="U4" s="3" t="s">
        <v>228</v>
      </c>
      <c r="V4" s="3" t="s">
        <v>229</v>
      </c>
      <c r="W4" s="3" t="s">
        <v>230</v>
      </c>
    </row>
    <row r="5" customFormat="false" ht="15" hidden="false" customHeight="false" outlineLevel="0" collapsed="false">
      <c r="A5" s="7" t="s">
        <v>231</v>
      </c>
      <c r="B5" s="7" t="s">
        <v>232</v>
      </c>
      <c r="C5" s="7" t="s">
        <v>233</v>
      </c>
      <c r="D5" s="24" t="n">
        <v>0.3</v>
      </c>
      <c r="E5" s="24" t="n">
        <v>0.7</v>
      </c>
      <c r="F5" s="21" t="n">
        <v>3.55</v>
      </c>
      <c r="G5" s="21" t="n">
        <v>1.64</v>
      </c>
      <c r="H5" s="22" t="n">
        <f aca="false">F5-G5</f>
        <v>1.91</v>
      </c>
      <c r="I5" s="13" t="n">
        <f aca="false">MAX(0,E5-Parametros!$B$11)</f>
        <v>0.2</v>
      </c>
      <c r="J5" s="22" t="n">
        <f aca="false">D5*E5*G5+D5*I5*H5</f>
        <v>0.459</v>
      </c>
      <c r="K5" s="22" t="n">
        <f aca="false">2*E5*G5+2*I5*H5</f>
        <v>3.06</v>
      </c>
      <c r="L5" s="22" t="n">
        <f aca="false">IF(LEFT(B5,2)="VE",D5*G5,0)</f>
        <v>0.492</v>
      </c>
      <c r="M5" s="13" t="n">
        <f aca="false">IF(LEFT(B5,2)="VE",Parametros!$B$15,Parametros!$B$16)</f>
        <v>1.6</v>
      </c>
      <c r="N5" s="22" t="n">
        <f aca="false">D5*M5*G5</f>
        <v>0.7872</v>
      </c>
      <c r="O5" s="24" t="n">
        <v>5.05</v>
      </c>
      <c r="P5" s="25" t="n">
        <v>8</v>
      </c>
      <c r="Q5" s="25" t="n">
        <v>2</v>
      </c>
      <c r="R5" s="25" t="n">
        <v>24</v>
      </c>
      <c r="S5" s="24" t="n">
        <v>1.93</v>
      </c>
      <c r="T5" s="26" t="n">
        <f aca="false">P5*O5*Parametros!$B$8</f>
        <v>90.294</v>
      </c>
      <c r="U5" s="26" t="n">
        <f aca="false">Q5*O5*Parametros!$B$7</f>
        <v>15.6752</v>
      </c>
      <c r="V5" s="26" t="n">
        <f aca="false">R5*S5*Parametros!$B$5</f>
        <v>25.9392</v>
      </c>
      <c r="W5" s="26" t="n">
        <f aca="false">SUM(T5:V5)</f>
        <v>131.9084</v>
      </c>
    </row>
    <row r="6" customFormat="false" ht="15" hidden="false" customHeight="false" outlineLevel="0" collapsed="false">
      <c r="A6" s="7" t="s">
        <v>234</v>
      </c>
      <c r="B6" s="7" t="s">
        <v>232</v>
      </c>
      <c r="C6" s="7" t="s">
        <v>235</v>
      </c>
      <c r="D6" s="24" t="n">
        <v>0.3</v>
      </c>
      <c r="E6" s="24" t="n">
        <v>0.7</v>
      </c>
      <c r="F6" s="21" t="n">
        <v>3.15</v>
      </c>
      <c r="G6" s="21" t="n">
        <v>1.26</v>
      </c>
      <c r="H6" s="22" t="n">
        <f aca="false">F6-G6</f>
        <v>1.89</v>
      </c>
      <c r="I6" s="13" t="n">
        <f aca="false">MAX(0,E6-Parametros!$B$11)</f>
        <v>0.2</v>
      </c>
      <c r="J6" s="22" t="n">
        <f aca="false">D6*E6*G6+D6*I6*H6</f>
        <v>0.378</v>
      </c>
      <c r="K6" s="22" t="n">
        <f aca="false">2*E6*G6+2*I6*H6</f>
        <v>2.52</v>
      </c>
      <c r="L6" s="22" t="n">
        <f aca="false">IF(LEFT(B6,2)="VE",D6*G6,0)</f>
        <v>0.378</v>
      </c>
      <c r="M6" s="13" t="n">
        <f aca="false">IF(LEFT(B6,2)="VE",Parametros!$B$15,Parametros!$B$16)</f>
        <v>1.6</v>
      </c>
      <c r="N6" s="22" t="n">
        <f aca="false">D6*M6*G6</f>
        <v>0.6048</v>
      </c>
      <c r="O6" s="24" t="n">
        <v>4.65</v>
      </c>
      <c r="P6" s="25" t="n">
        <v>8</v>
      </c>
      <c r="Q6" s="25" t="n">
        <v>2</v>
      </c>
      <c r="R6" s="25" t="n">
        <v>22</v>
      </c>
      <c r="S6" s="24" t="n">
        <v>1.93</v>
      </c>
      <c r="T6" s="26" t="n">
        <f aca="false">P6*O6*Parametros!$B$8</f>
        <v>83.142</v>
      </c>
      <c r="U6" s="26" t="n">
        <f aca="false">Q6*O6*Parametros!$B$7</f>
        <v>14.4336</v>
      </c>
      <c r="V6" s="26" t="n">
        <f aca="false">R6*S6*Parametros!$B$5</f>
        <v>23.7776</v>
      </c>
      <c r="W6" s="26" t="n">
        <f aca="false">SUM(T6:V6)</f>
        <v>121.3532</v>
      </c>
    </row>
    <row r="7" customFormat="false" ht="15" hidden="false" customHeight="false" outlineLevel="0" collapsed="false">
      <c r="A7" s="7" t="s">
        <v>236</v>
      </c>
      <c r="B7" s="7" t="s">
        <v>232</v>
      </c>
      <c r="C7" s="7" t="s">
        <v>237</v>
      </c>
      <c r="D7" s="24" t="n">
        <v>0.3</v>
      </c>
      <c r="E7" s="24" t="n">
        <v>0.7</v>
      </c>
      <c r="F7" s="21" t="n">
        <v>4.28</v>
      </c>
      <c r="G7" s="21" t="n">
        <v>2.25</v>
      </c>
      <c r="H7" s="22" t="n">
        <f aca="false">F7-G7</f>
        <v>2.03</v>
      </c>
      <c r="I7" s="13" t="n">
        <f aca="false">MAX(0,E7-Parametros!$B$11)</f>
        <v>0.2</v>
      </c>
      <c r="J7" s="22" t="n">
        <f aca="false">D7*E7*G7+D7*I7*H7</f>
        <v>0.5943</v>
      </c>
      <c r="K7" s="22" t="n">
        <f aca="false">2*E7*G7+2*I7*H7</f>
        <v>3.962</v>
      </c>
      <c r="L7" s="22" t="n">
        <f aca="false">IF(LEFT(B7,2)="VE",D7*G7,0)</f>
        <v>0.675</v>
      </c>
      <c r="M7" s="13" t="n">
        <f aca="false">IF(LEFT(B7,2)="VE",Parametros!$B$15,Parametros!$B$16)</f>
        <v>1.6</v>
      </c>
      <c r="N7" s="22" t="n">
        <f aca="false">D7*M7*G7</f>
        <v>1.08</v>
      </c>
      <c r="O7" s="24" t="n">
        <v>5.78</v>
      </c>
      <c r="P7" s="25" t="n">
        <v>8</v>
      </c>
      <c r="Q7" s="25" t="n">
        <v>2</v>
      </c>
      <c r="R7" s="25" t="n">
        <v>29</v>
      </c>
      <c r="S7" s="24" t="n">
        <v>1.93</v>
      </c>
      <c r="T7" s="26" t="n">
        <f aca="false">P7*O7*Parametros!$B$8</f>
        <v>103.3464</v>
      </c>
      <c r="U7" s="26" t="n">
        <f aca="false">Q7*O7*Parametros!$B$7</f>
        <v>17.94112</v>
      </c>
      <c r="V7" s="26" t="n">
        <f aca="false">R7*S7*Parametros!$B$5</f>
        <v>31.3432</v>
      </c>
      <c r="W7" s="26" t="n">
        <f aca="false">SUM(T7:V7)</f>
        <v>152.63072</v>
      </c>
    </row>
    <row r="8" customFormat="false" ht="15" hidden="false" customHeight="false" outlineLevel="0" collapsed="false">
      <c r="A8" s="7" t="s">
        <v>238</v>
      </c>
      <c r="B8" s="7" t="s">
        <v>232</v>
      </c>
      <c r="C8" s="7" t="s">
        <v>239</v>
      </c>
      <c r="D8" s="24" t="n">
        <v>0.3</v>
      </c>
      <c r="E8" s="24" t="n">
        <v>0.7</v>
      </c>
      <c r="F8" s="21" t="n">
        <v>3.41</v>
      </c>
      <c r="G8" s="21" t="n">
        <v>1.515</v>
      </c>
      <c r="H8" s="22" t="n">
        <f aca="false">F8-G8</f>
        <v>1.895</v>
      </c>
      <c r="I8" s="13" t="n">
        <f aca="false">MAX(0,E8-Parametros!$B$11)</f>
        <v>0.2</v>
      </c>
      <c r="J8" s="22" t="n">
        <f aca="false">D8*E8*G8+D8*I8*H8</f>
        <v>0.43185</v>
      </c>
      <c r="K8" s="22" t="n">
        <f aca="false">2*E8*G8+2*I8*H8</f>
        <v>2.879</v>
      </c>
      <c r="L8" s="22" t="n">
        <f aca="false">IF(LEFT(B8,2)="VE",D8*G8,0)</f>
        <v>0.4545</v>
      </c>
      <c r="M8" s="13" t="n">
        <f aca="false">IF(LEFT(B8,2)="VE",Parametros!$B$15,Parametros!$B$16)</f>
        <v>1.6</v>
      </c>
      <c r="N8" s="22" t="n">
        <f aca="false">D8*M8*G8</f>
        <v>0.7272</v>
      </c>
      <c r="O8" s="24" t="n">
        <v>4.91</v>
      </c>
      <c r="P8" s="25" t="n">
        <v>8</v>
      </c>
      <c r="Q8" s="25" t="n">
        <v>2</v>
      </c>
      <c r="R8" s="25" t="n">
        <v>24</v>
      </c>
      <c r="S8" s="24" t="n">
        <v>1.93</v>
      </c>
      <c r="T8" s="26" t="n">
        <f aca="false">P8*O8*Parametros!$B$8</f>
        <v>87.7908</v>
      </c>
      <c r="U8" s="26" t="n">
        <f aca="false">Q8*O8*Parametros!$B$7</f>
        <v>15.24064</v>
      </c>
      <c r="V8" s="26" t="n">
        <f aca="false">R8*S8*Parametros!$B$5</f>
        <v>25.9392</v>
      </c>
      <c r="W8" s="26" t="n">
        <f aca="false">SUM(T8:V8)</f>
        <v>128.97064</v>
      </c>
    </row>
    <row r="9" customFormat="false" ht="15" hidden="false" customHeight="false" outlineLevel="0" collapsed="false">
      <c r="A9" s="7" t="s">
        <v>240</v>
      </c>
      <c r="B9" s="7" t="s">
        <v>241</v>
      </c>
      <c r="C9" s="7" t="s">
        <v>242</v>
      </c>
      <c r="D9" s="24" t="n">
        <v>0.3</v>
      </c>
      <c r="E9" s="24" t="n">
        <v>0.7</v>
      </c>
      <c r="F9" s="21" t="n">
        <v>3.55</v>
      </c>
      <c r="G9" s="21" t="n">
        <v>1.54</v>
      </c>
      <c r="H9" s="22" t="n">
        <f aca="false">F9-G9</f>
        <v>2.01</v>
      </c>
      <c r="I9" s="13" t="n">
        <f aca="false">MAX(0,E9-Parametros!$B$11)</f>
        <v>0.2</v>
      </c>
      <c r="J9" s="22" t="n">
        <f aca="false">D9*E9*G9+D9*I9*H9</f>
        <v>0.444</v>
      </c>
      <c r="K9" s="22" t="n">
        <f aca="false">2*E9*G9+2*I9*H9</f>
        <v>2.96</v>
      </c>
      <c r="L9" s="22" t="n">
        <f aca="false">IF(LEFT(B9,2)="VE",D9*G9,0)</f>
        <v>0.462</v>
      </c>
      <c r="M9" s="13" t="n">
        <f aca="false">IF(LEFT(B9,2)="VE",Parametros!$B$15,Parametros!$B$16)</f>
        <v>1.6</v>
      </c>
      <c r="N9" s="22" t="n">
        <f aca="false">D9*M9*G9</f>
        <v>0.7392</v>
      </c>
      <c r="O9" s="24" t="n">
        <v>5.05</v>
      </c>
      <c r="P9" s="25" t="n">
        <v>6</v>
      </c>
      <c r="Q9" s="25" t="n">
        <v>2</v>
      </c>
      <c r="R9" s="25" t="n">
        <v>24</v>
      </c>
      <c r="S9" s="24" t="n">
        <v>1.93</v>
      </c>
      <c r="T9" s="26" t="n">
        <f aca="false">P9*O9*Parametros!$B$8</f>
        <v>67.7205</v>
      </c>
      <c r="U9" s="26" t="n">
        <f aca="false">Q9*O9*Parametros!$B$7</f>
        <v>15.6752</v>
      </c>
      <c r="V9" s="26" t="n">
        <f aca="false">R9*S9*Parametros!$B$5</f>
        <v>25.9392</v>
      </c>
      <c r="W9" s="26" t="n">
        <f aca="false">SUM(T9:V9)</f>
        <v>109.3349</v>
      </c>
    </row>
    <row r="10" customFormat="false" ht="15" hidden="false" customHeight="false" outlineLevel="0" collapsed="false">
      <c r="A10" s="7" t="s">
        <v>243</v>
      </c>
      <c r="B10" s="7" t="s">
        <v>241</v>
      </c>
      <c r="C10" s="7" t="s">
        <v>244</v>
      </c>
      <c r="D10" s="24" t="n">
        <v>0.3</v>
      </c>
      <c r="E10" s="24" t="n">
        <v>0.7</v>
      </c>
      <c r="F10" s="21" t="n">
        <v>3.15</v>
      </c>
      <c r="G10" s="21" t="n">
        <v>1.15</v>
      </c>
      <c r="H10" s="22" t="n">
        <f aca="false">F10-G10</f>
        <v>2</v>
      </c>
      <c r="I10" s="13" t="n">
        <f aca="false">MAX(0,E10-Parametros!$B$11)</f>
        <v>0.2</v>
      </c>
      <c r="J10" s="22" t="n">
        <f aca="false">D10*E10*G10+D10*I10*H10</f>
        <v>0.3615</v>
      </c>
      <c r="K10" s="22" t="n">
        <f aca="false">2*E10*G10+2*I10*H10</f>
        <v>2.41</v>
      </c>
      <c r="L10" s="22" t="n">
        <f aca="false">IF(LEFT(B10,2)="VE",D10*G10,0)</f>
        <v>0.345</v>
      </c>
      <c r="M10" s="13" t="n">
        <f aca="false">IF(LEFT(B10,2)="VE",Parametros!$B$15,Parametros!$B$16)</f>
        <v>1.6</v>
      </c>
      <c r="N10" s="22" t="n">
        <f aca="false">D10*M10*G10</f>
        <v>0.552</v>
      </c>
      <c r="O10" s="24" t="n">
        <v>4.65</v>
      </c>
      <c r="P10" s="25" t="n">
        <v>6</v>
      </c>
      <c r="Q10" s="25" t="n">
        <v>2</v>
      </c>
      <c r="R10" s="25" t="n">
        <v>22</v>
      </c>
      <c r="S10" s="24" t="n">
        <v>1.93</v>
      </c>
      <c r="T10" s="26" t="n">
        <f aca="false">P10*O10*Parametros!$B$8</f>
        <v>62.3565</v>
      </c>
      <c r="U10" s="26" t="n">
        <f aca="false">Q10*O10*Parametros!$B$7</f>
        <v>14.4336</v>
      </c>
      <c r="V10" s="26" t="n">
        <f aca="false">R10*S10*Parametros!$B$5</f>
        <v>23.7776</v>
      </c>
      <c r="W10" s="26" t="n">
        <f aca="false">SUM(T10:V10)</f>
        <v>100.5677</v>
      </c>
    </row>
    <row r="11" customFormat="false" ht="15" hidden="false" customHeight="false" outlineLevel="0" collapsed="false">
      <c r="A11" s="7" t="s">
        <v>245</v>
      </c>
      <c r="B11" s="7" t="s">
        <v>241</v>
      </c>
      <c r="C11" s="7" t="s">
        <v>246</v>
      </c>
      <c r="D11" s="24" t="n">
        <v>0.3</v>
      </c>
      <c r="E11" s="24" t="n">
        <v>0.7</v>
      </c>
      <c r="F11" s="21" t="n">
        <v>3.55</v>
      </c>
      <c r="G11" s="21" t="n">
        <v>1.765</v>
      </c>
      <c r="H11" s="22" t="n">
        <f aca="false">F11-G11</f>
        <v>1.785</v>
      </c>
      <c r="I11" s="13" t="n">
        <f aca="false">MAX(0,E11-Parametros!$B$11)</f>
        <v>0.2</v>
      </c>
      <c r="J11" s="22" t="n">
        <f aca="false">D11*E11*G11+D11*I11*H11</f>
        <v>0.47775</v>
      </c>
      <c r="K11" s="22" t="n">
        <f aca="false">2*E11*G11+2*I11*H11</f>
        <v>3.185</v>
      </c>
      <c r="L11" s="22" t="n">
        <f aca="false">IF(LEFT(B11,2)="VE",D11*G11,0)</f>
        <v>0.5295</v>
      </c>
      <c r="M11" s="13" t="n">
        <f aca="false">IF(LEFT(B11,2)="VE",Parametros!$B$15,Parametros!$B$16)</f>
        <v>1.6</v>
      </c>
      <c r="N11" s="22" t="n">
        <f aca="false">D11*M11*G11</f>
        <v>0.8472</v>
      </c>
      <c r="O11" s="24" t="n">
        <v>5.05</v>
      </c>
      <c r="P11" s="25" t="n">
        <v>6</v>
      </c>
      <c r="Q11" s="25" t="n">
        <v>2</v>
      </c>
      <c r="R11" s="25" t="n">
        <v>24</v>
      </c>
      <c r="S11" s="24" t="n">
        <v>1.93</v>
      </c>
      <c r="T11" s="26" t="n">
        <f aca="false">P11*O11*Parametros!$B$8</f>
        <v>67.7205</v>
      </c>
      <c r="U11" s="26" t="n">
        <f aca="false">Q11*O11*Parametros!$B$7</f>
        <v>15.6752</v>
      </c>
      <c r="V11" s="26" t="n">
        <f aca="false">R11*S11*Parametros!$B$5</f>
        <v>25.9392</v>
      </c>
      <c r="W11" s="26" t="n">
        <f aca="false">SUM(T11:V11)</f>
        <v>109.3349</v>
      </c>
    </row>
    <row r="12" customFormat="false" ht="15" hidden="false" customHeight="false" outlineLevel="0" collapsed="false">
      <c r="A12" s="7" t="s">
        <v>247</v>
      </c>
      <c r="B12" s="7" t="s">
        <v>241</v>
      </c>
      <c r="C12" s="7" t="s">
        <v>248</v>
      </c>
      <c r="D12" s="24" t="n">
        <v>0.3</v>
      </c>
      <c r="E12" s="24" t="n">
        <v>0.7</v>
      </c>
      <c r="F12" s="21" t="n">
        <v>3.15</v>
      </c>
      <c r="G12" s="21" t="n">
        <v>1.385</v>
      </c>
      <c r="H12" s="22" t="n">
        <f aca="false">F12-G12</f>
        <v>1.765</v>
      </c>
      <c r="I12" s="13" t="n">
        <f aca="false">MAX(0,E12-Parametros!$B$11)</f>
        <v>0.2</v>
      </c>
      <c r="J12" s="22" t="n">
        <f aca="false">D12*E12*G12+D12*I12*H12</f>
        <v>0.39675</v>
      </c>
      <c r="K12" s="22" t="n">
        <f aca="false">2*E12*G12+2*I12*H12</f>
        <v>2.645</v>
      </c>
      <c r="L12" s="22" t="n">
        <f aca="false">IF(LEFT(B12,2)="VE",D12*G12,0)</f>
        <v>0.4155</v>
      </c>
      <c r="M12" s="13" t="n">
        <f aca="false">IF(LEFT(B12,2)="VE",Parametros!$B$15,Parametros!$B$16)</f>
        <v>1.6</v>
      </c>
      <c r="N12" s="22" t="n">
        <f aca="false">D12*M12*G12</f>
        <v>0.6648</v>
      </c>
      <c r="O12" s="24" t="n">
        <v>4.65</v>
      </c>
      <c r="P12" s="25" t="n">
        <v>6</v>
      </c>
      <c r="Q12" s="25" t="n">
        <v>2</v>
      </c>
      <c r="R12" s="25" t="n">
        <v>22</v>
      </c>
      <c r="S12" s="24" t="n">
        <v>1.93</v>
      </c>
      <c r="T12" s="26" t="n">
        <f aca="false">P12*O12*Parametros!$B$8</f>
        <v>62.3565</v>
      </c>
      <c r="U12" s="26" t="n">
        <f aca="false">Q12*O12*Parametros!$B$7</f>
        <v>14.4336</v>
      </c>
      <c r="V12" s="26" t="n">
        <f aca="false">R12*S12*Parametros!$B$5</f>
        <v>23.7776</v>
      </c>
      <c r="W12" s="26" t="n">
        <f aca="false">SUM(T12:V12)</f>
        <v>100.5677</v>
      </c>
    </row>
    <row r="13" customFormat="false" ht="15" hidden="false" customHeight="false" outlineLevel="0" collapsed="false">
      <c r="A13" s="7" t="s">
        <v>249</v>
      </c>
      <c r="B13" s="7" t="s">
        <v>241</v>
      </c>
      <c r="C13" s="7" t="s">
        <v>250</v>
      </c>
      <c r="D13" s="24" t="n">
        <v>0.3</v>
      </c>
      <c r="E13" s="24" t="n">
        <v>0.7</v>
      </c>
      <c r="F13" s="21" t="n">
        <v>3.55</v>
      </c>
      <c r="G13" s="21" t="n">
        <v>1.765</v>
      </c>
      <c r="H13" s="22" t="n">
        <f aca="false">F13-G13</f>
        <v>1.785</v>
      </c>
      <c r="I13" s="13" t="n">
        <f aca="false">MAX(0,E13-Parametros!$B$11)</f>
        <v>0.2</v>
      </c>
      <c r="J13" s="22" t="n">
        <f aca="false">D13*E13*G13+D13*I13*H13</f>
        <v>0.47775</v>
      </c>
      <c r="K13" s="22" t="n">
        <f aca="false">2*E13*G13+2*I13*H13</f>
        <v>3.185</v>
      </c>
      <c r="L13" s="22" t="n">
        <f aca="false">IF(LEFT(B13,2)="VE",D13*G13,0)</f>
        <v>0.5295</v>
      </c>
      <c r="M13" s="13" t="n">
        <f aca="false">IF(LEFT(B13,2)="VE",Parametros!$B$15,Parametros!$B$16)</f>
        <v>1.6</v>
      </c>
      <c r="N13" s="22" t="n">
        <f aca="false">D13*M13*G13</f>
        <v>0.8472</v>
      </c>
      <c r="O13" s="24" t="n">
        <v>5.05</v>
      </c>
      <c r="P13" s="25" t="n">
        <v>6</v>
      </c>
      <c r="Q13" s="25" t="n">
        <v>2</v>
      </c>
      <c r="R13" s="25" t="n">
        <v>24</v>
      </c>
      <c r="S13" s="24" t="n">
        <v>1.93</v>
      </c>
      <c r="T13" s="26" t="n">
        <f aca="false">P13*O13*Parametros!$B$8</f>
        <v>67.7205</v>
      </c>
      <c r="U13" s="26" t="n">
        <f aca="false">Q13*O13*Parametros!$B$7</f>
        <v>15.6752</v>
      </c>
      <c r="V13" s="26" t="n">
        <f aca="false">R13*S13*Parametros!$B$5</f>
        <v>25.9392</v>
      </c>
      <c r="W13" s="26" t="n">
        <f aca="false">SUM(T13:V13)</f>
        <v>109.3349</v>
      </c>
    </row>
    <row r="14" customFormat="false" ht="15" hidden="false" customHeight="false" outlineLevel="0" collapsed="false">
      <c r="A14" s="7" t="s">
        <v>251</v>
      </c>
      <c r="B14" s="7" t="s">
        <v>241</v>
      </c>
      <c r="C14" s="7" t="s">
        <v>252</v>
      </c>
      <c r="D14" s="24" t="n">
        <v>0.3</v>
      </c>
      <c r="E14" s="24" t="n">
        <v>0.7</v>
      </c>
      <c r="F14" s="21" t="n">
        <v>3.15</v>
      </c>
      <c r="G14" s="21" t="n">
        <v>1.385</v>
      </c>
      <c r="H14" s="22" t="n">
        <f aca="false">F14-G14</f>
        <v>1.765</v>
      </c>
      <c r="I14" s="13" t="n">
        <f aca="false">MAX(0,E14-Parametros!$B$11)</f>
        <v>0.2</v>
      </c>
      <c r="J14" s="22" t="n">
        <f aca="false">D14*E14*G14+D14*I14*H14</f>
        <v>0.39675</v>
      </c>
      <c r="K14" s="22" t="n">
        <f aca="false">2*E14*G14+2*I14*H14</f>
        <v>2.645</v>
      </c>
      <c r="L14" s="22" t="n">
        <f aca="false">IF(LEFT(B14,2)="VE",D14*G14,0)</f>
        <v>0.4155</v>
      </c>
      <c r="M14" s="13" t="n">
        <f aca="false">IF(LEFT(B14,2)="VE",Parametros!$B$15,Parametros!$B$16)</f>
        <v>1.6</v>
      </c>
      <c r="N14" s="22" t="n">
        <f aca="false">D14*M14*G14</f>
        <v>0.6648</v>
      </c>
      <c r="O14" s="24" t="n">
        <v>4.65</v>
      </c>
      <c r="P14" s="25" t="n">
        <v>6</v>
      </c>
      <c r="Q14" s="25" t="n">
        <v>2</v>
      </c>
      <c r="R14" s="25" t="n">
        <v>22</v>
      </c>
      <c r="S14" s="24" t="n">
        <v>1.93</v>
      </c>
      <c r="T14" s="26" t="n">
        <f aca="false">P14*O14*Parametros!$B$8</f>
        <v>62.3565</v>
      </c>
      <c r="U14" s="26" t="n">
        <f aca="false">Q14*O14*Parametros!$B$7</f>
        <v>14.4336</v>
      </c>
      <c r="V14" s="26" t="n">
        <f aca="false">R14*S14*Parametros!$B$5</f>
        <v>23.7776</v>
      </c>
      <c r="W14" s="26" t="n">
        <f aca="false">SUM(T14:V14)</f>
        <v>100.5677</v>
      </c>
    </row>
    <row r="15" customFormat="false" ht="15" hidden="false" customHeight="false" outlineLevel="0" collapsed="false">
      <c r="A15" s="7" t="s">
        <v>253</v>
      </c>
      <c r="B15" s="7" t="s">
        <v>241</v>
      </c>
      <c r="C15" s="7" t="s">
        <v>254</v>
      </c>
      <c r="D15" s="24" t="n">
        <v>0.3</v>
      </c>
      <c r="E15" s="24" t="n">
        <v>0.7</v>
      </c>
      <c r="F15" s="21" t="n">
        <v>3.55</v>
      </c>
      <c r="G15" s="21" t="n">
        <v>1.54</v>
      </c>
      <c r="H15" s="22" t="n">
        <f aca="false">F15-G15</f>
        <v>2.01</v>
      </c>
      <c r="I15" s="13" t="n">
        <f aca="false">MAX(0,E15-Parametros!$B$11)</f>
        <v>0.2</v>
      </c>
      <c r="J15" s="22" t="n">
        <f aca="false">D15*E15*G15+D15*I15*H15</f>
        <v>0.444</v>
      </c>
      <c r="K15" s="22" t="n">
        <f aca="false">2*E15*G15+2*I15*H15</f>
        <v>2.96</v>
      </c>
      <c r="L15" s="22" t="n">
        <f aca="false">IF(LEFT(B15,2)="VE",D15*G15,0)</f>
        <v>0.462</v>
      </c>
      <c r="M15" s="13" t="n">
        <f aca="false">IF(LEFT(B15,2)="VE",Parametros!$B$15,Parametros!$B$16)</f>
        <v>1.6</v>
      </c>
      <c r="N15" s="22" t="n">
        <f aca="false">D15*M15*G15</f>
        <v>0.7392</v>
      </c>
      <c r="O15" s="24" t="n">
        <v>5.05</v>
      </c>
      <c r="P15" s="25" t="n">
        <v>6</v>
      </c>
      <c r="Q15" s="25" t="n">
        <v>2</v>
      </c>
      <c r="R15" s="25" t="n">
        <v>24</v>
      </c>
      <c r="S15" s="24" t="n">
        <v>1.93</v>
      </c>
      <c r="T15" s="26" t="n">
        <f aca="false">P15*O15*Parametros!$B$8</f>
        <v>67.7205</v>
      </c>
      <c r="U15" s="26" t="n">
        <f aca="false">Q15*O15*Parametros!$B$7</f>
        <v>15.6752</v>
      </c>
      <c r="V15" s="26" t="n">
        <f aca="false">R15*S15*Parametros!$B$5</f>
        <v>25.9392</v>
      </c>
      <c r="W15" s="26" t="n">
        <f aca="false">SUM(T15:V15)</f>
        <v>109.3349</v>
      </c>
    </row>
    <row r="16" customFormat="false" ht="15" hidden="false" customHeight="false" outlineLevel="0" collapsed="false">
      <c r="A16" s="7" t="s">
        <v>255</v>
      </c>
      <c r="B16" s="7" t="s">
        <v>241</v>
      </c>
      <c r="C16" s="7" t="s">
        <v>256</v>
      </c>
      <c r="D16" s="24" t="n">
        <v>0.3</v>
      </c>
      <c r="E16" s="24" t="n">
        <v>0.7</v>
      </c>
      <c r="F16" s="21" t="n">
        <v>3.15</v>
      </c>
      <c r="G16" s="21" t="n">
        <v>1.15</v>
      </c>
      <c r="H16" s="22" t="n">
        <f aca="false">F16-G16</f>
        <v>2</v>
      </c>
      <c r="I16" s="13" t="n">
        <f aca="false">MAX(0,E16-Parametros!$B$11)</f>
        <v>0.2</v>
      </c>
      <c r="J16" s="22" t="n">
        <f aca="false">D16*E16*G16+D16*I16*H16</f>
        <v>0.3615</v>
      </c>
      <c r="K16" s="22" t="n">
        <f aca="false">2*E16*G16+2*I16*H16</f>
        <v>2.41</v>
      </c>
      <c r="L16" s="22" t="n">
        <f aca="false">IF(LEFT(B16,2)="VE",D16*G16,0)</f>
        <v>0.345</v>
      </c>
      <c r="M16" s="13" t="n">
        <f aca="false">IF(LEFT(B16,2)="VE",Parametros!$B$15,Parametros!$B$16)</f>
        <v>1.6</v>
      </c>
      <c r="N16" s="22" t="n">
        <f aca="false">D16*M16*G16</f>
        <v>0.552</v>
      </c>
      <c r="O16" s="24" t="n">
        <v>4.65</v>
      </c>
      <c r="P16" s="25" t="n">
        <v>6</v>
      </c>
      <c r="Q16" s="25" t="n">
        <v>2</v>
      </c>
      <c r="R16" s="25" t="n">
        <v>22</v>
      </c>
      <c r="S16" s="24" t="n">
        <v>1.93</v>
      </c>
      <c r="T16" s="26" t="n">
        <f aca="false">P16*O16*Parametros!$B$8</f>
        <v>62.3565</v>
      </c>
      <c r="U16" s="26" t="n">
        <f aca="false">Q16*O16*Parametros!$B$7</f>
        <v>14.4336</v>
      </c>
      <c r="V16" s="26" t="n">
        <f aca="false">R16*S16*Parametros!$B$5</f>
        <v>23.7776</v>
      </c>
      <c r="W16" s="26" t="n">
        <f aca="false">SUM(T16:V16)</f>
        <v>100.5677</v>
      </c>
    </row>
    <row r="17" customFormat="false" ht="15" hidden="false" customHeight="false" outlineLevel="0" collapsed="false">
      <c r="A17" s="7" t="s">
        <v>257</v>
      </c>
      <c r="B17" s="7" t="s">
        <v>241</v>
      </c>
      <c r="C17" s="7" t="s">
        <v>258</v>
      </c>
      <c r="D17" s="24" t="n">
        <v>0.3</v>
      </c>
      <c r="E17" s="24" t="n">
        <v>0.7</v>
      </c>
      <c r="F17" s="21" t="n">
        <v>4</v>
      </c>
      <c r="G17" s="21" t="n">
        <v>1.95</v>
      </c>
      <c r="H17" s="22" t="n">
        <f aca="false">F17-G17</f>
        <v>2.05</v>
      </c>
      <c r="I17" s="13" t="n">
        <f aca="false">MAX(0,E17-Parametros!$B$11)</f>
        <v>0.2</v>
      </c>
      <c r="J17" s="22" t="n">
        <f aca="false">D17*E17*G17+D17*I17*H17</f>
        <v>0.5325</v>
      </c>
      <c r="K17" s="22" t="n">
        <f aca="false">2*E17*G17+2*I17*H17</f>
        <v>3.55</v>
      </c>
      <c r="L17" s="22" t="n">
        <f aca="false">IF(LEFT(B17,2)="VE",D17*G17,0)</f>
        <v>0.585</v>
      </c>
      <c r="M17" s="13" t="n">
        <f aca="false">IF(LEFT(B17,2)="VE",Parametros!$B$15,Parametros!$B$16)</f>
        <v>1.6</v>
      </c>
      <c r="N17" s="22" t="n">
        <f aca="false">D17*M17*G17</f>
        <v>0.936</v>
      </c>
      <c r="O17" s="24" t="n">
        <v>5.5</v>
      </c>
      <c r="P17" s="25" t="n">
        <v>6</v>
      </c>
      <c r="Q17" s="25" t="n">
        <v>2</v>
      </c>
      <c r="R17" s="25" t="n">
        <v>27</v>
      </c>
      <c r="S17" s="24" t="n">
        <v>1.93</v>
      </c>
      <c r="T17" s="26" t="n">
        <f aca="false">P17*O17*Parametros!$B$8</f>
        <v>73.755</v>
      </c>
      <c r="U17" s="26" t="n">
        <f aca="false">Q17*O17*Parametros!$B$7</f>
        <v>17.072</v>
      </c>
      <c r="V17" s="26" t="n">
        <f aca="false">R17*S17*Parametros!$B$5</f>
        <v>29.1816</v>
      </c>
      <c r="W17" s="26" t="n">
        <f aca="false">SUM(T17:V17)</f>
        <v>120.0086</v>
      </c>
    </row>
    <row r="18" customFormat="false" ht="15" hidden="false" customHeight="false" outlineLevel="0" collapsed="false">
      <c r="A18" s="7" t="s">
        <v>259</v>
      </c>
      <c r="B18" s="7" t="s">
        <v>241</v>
      </c>
      <c r="C18" s="7" t="s">
        <v>260</v>
      </c>
      <c r="D18" s="24" t="n">
        <v>0.3</v>
      </c>
      <c r="E18" s="24" t="n">
        <v>0.7</v>
      </c>
      <c r="F18" s="21" t="n">
        <v>3.14</v>
      </c>
      <c r="G18" s="21" t="n">
        <v>1.14</v>
      </c>
      <c r="H18" s="22" t="n">
        <f aca="false">F18-G18</f>
        <v>2</v>
      </c>
      <c r="I18" s="13" t="n">
        <f aca="false">MAX(0,E18-Parametros!$B$11)</f>
        <v>0.2</v>
      </c>
      <c r="J18" s="22" t="n">
        <f aca="false">D18*E18*G18+D18*I18*H18</f>
        <v>0.3594</v>
      </c>
      <c r="K18" s="22" t="n">
        <f aca="false">2*E18*G18+2*I18*H18</f>
        <v>2.396</v>
      </c>
      <c r="L18" s="22" t="n">
        <f aca="false">IF(LEFT(B18,2)="VE",D18*G18,0)</f>
        <v>0.342</v>
      </c>
      <c r="M18" s="13" t="n">
        <f aca="false">IF(LEFT(B18,2)="VE",Parametros!$B$15,Parametros!$B$16)</f>
        <v>1.6</v>
      </c>
      <c r="N18" s="22" t="n">
        <f aca="false">D18*M18*G18</f>
        <v>0.5472</v>
      </c>
      <c r="O18" s="24" t="n">
        <v>4.64</v>
      </c>
      <c r="P18" s="25" t="n">
        <v>6</v>
      </c>
      <c r="Q18" s="25" t="n">
        <v>2</v>
      </c>
      <c r="R18" s="25" t="n">
        <v>22</v>
      </c>
      <c r="S18" s="24" t="n">
        <v>1.93</v>
      </c>
      <c r="T18" s="26" t="n">
        <f aca="false">P18*O18*Parametros!$B$8</f>
        <v>62.2224</v>
      </c>
      <c r="U18" s="26" t="n">
        <f aca="false">Q18*O18*Parametros!$B$7</f>
        <v>14.40256</v>
      </c>
      <c r="V18" s="26" t="n">
        <f aca="false">R18*S18*Parametros!$B$5</f>
        <v>23.7776</v>
      </c>
      <c r="W18" s="26" t="n">
        <f aca="false">SUM(T18:V18)</f>
        <v>100.40256</v>
      </c>
    </row>
    <row r="19" customFormat="false" ht="15" hidden="false" customHeight="false" outlineLevel="0" collapsed="false">
      <c r="A19" s="7" t="s">
        <v>261</v>
      </c>
      <c r="B19" s="7" t="s">
        <v>241</v>
      </c>
      <c r="C19" s="7" t="s">
        <v>262</v>
      </c>
      <c r="D19" s="24" t="n">
        <v>0.3</v>
      </c>
      <c r="E19" s="24" t="n">
        <v>0.7</v>
      </c>
      <c r="F19" s="21" t="n">
        <v>4</v>
      </c>
      <c r="G19" s="21" t="n">
        <v>1.95</v>
      </c>
      <c r="H19" s="22" t="n">
        <f aca="false">F19-G19</f>
        <v>2.05</v>
      </c>
      <c r="I19" s="13" t="n">
        <f aca="false">MAX(0,E19-Parametros!$B$11)</f>
        <v>0.2</v>
      </c>
      <c r="J19" s="22" t="n">
        <f aca="false">D19*E19*G19+D19*I19*H19</f>
        <v>0.5325</v>
      </c>
      <c r="K19" s="22" t="n">
        <f aca="false">2*E19*G19+2*I19*H19</f>
        <v>3.55</v>
      </c>
      <c r="L19" s="22" t="n">
        <f aca="false">IF(LEFT(B19,2)="VE",D19*G19,0)</f>
        <v>0.585</v>
      </c>
      <c r="M19" s="13" t="n">
        <f aca="false">IF(LEFT(B19,2)="VE",Parametros!$B$15,Parametros!$B$16)</f>
        <v>1.6</v>
      </c>
      <c r="N19" s="22" t="n">
        <f aca="false">D19*M19*G19</f>
        <v>0.936</v>
      </c>
      <c r="O19" s="24" t="n">
        <v>5.5</v>
      </c>
      <c r="P19" s="25" t="n">
        <v>6</v>
      </c>
      <c r="Q19" s="25" t="n">
        <v>2</v>
      </c>
      <c r="R19" s="25" t="n">
        <v>27</v>
      </c>
      <c r="S19" s="24" t="n">
        <v>1.93</v>
      </c>
      <c r="T19" s="26" t="n">
        <f aca="false">P19*O19*Parametros!$B$8</f>
        <v>73.755</v>
      </c>
      <c r="U19" s="26" t="n">
        <f aca="false">Q19*O19*Parametros!$B$7</f>
        <v>17.072</v>
      </c>
      <c r="V19" s="26" t="n">
        <f aca="false">R19*S19*Parametros!$B$5</f>
        <v>29.1816</v>
      </c>
      <c r="W19" s="26" t="n">
        <f aca="false">SUM(T19:V19)</f>
        <v>120.0086</v>
      </c>
    </row>
    <row r="20" customFormat="false" ht="15" hidden="false" customHeight="false" outlineLevel="0" collapsed="false">
      <c r="A20" s="7" t="s">
        <v>263</v>
      </c>
      <c r="B20" s="7" t="s">
        <v>241</v>
      </c>
      <c r="C20" s="7" t="s">
        <v>264</v>
      </c>
      <c r="D20" s="24" t="n">
        <v>0.3</v>
      </c>
      <c r="E20" s="24" t="n">
        <v>0.7</v>
      </c>
      <c r="F20" s="21" t="n">
        <v>3.14</v>
      </c>
      <c r="G20" s="21" t="n">
        <v>1.14</v>
      </c>
      <c r="H20" s="22" t="n">
        <f aca="false">F20-G20</f>
        <v>2</v>
      </c>
      <c r="I20" s="13" t="n">
        <f aca="false">MAX(0,E20-Parametros!$B$11)</f>
        <v>0.2</v>
      </c>
      <c r="J20" s="22" t="n">
        <f aca="false">D20*E20*G20+D20*I20*H20</f>
        <v>0.3594</v>
      </c>
      <c r="K20" s="22" t="n">
        <f aca="false">2*E20*G20+2*I20*H20</f>
        <v>2.396</v>
      </c>
      <c r="L20" s="22" t="n">
        <f aca="false">IF(LEFT(B20,2)="VE",D20*G20,0)</f>
        <v>0.342</v>
      </c>
      <c r="M20" s="13" t="n">
        <f aca="false">IF(LEFT(B20,2)="VE",Parametros!$B$15,Parametros!$B$16)</f>
        <v>1.6</v>
      </c>
      <c r="N20" s="22" t="n">
        <f aca="false">D20*M20*G20</f>
        <v>0.5472</v>
      </c>
      <c r="O20" s="24" t="n">
        <v>4.64</v>
      </c>
      <c r="P20" s="25" t="n">
        <v>6</v>
      </c>
      <c r="Q20" s="25" t="n">
        <v>2</v>
      </c>
      <c r="R20" s="25" t="n">
        <v>22</v>
      </c>
      <c r="S20" s="24" t="n">
        <v>1.93</v>
      </c>
      <c r="T20" s="26" t="n">
        <f aca="false">P20*O20*Parametros!$B$8</f>
        <v>62.2224</v>
      </c>
      <c r="U20" s="26" t="n">
        <f aca="false">Q20*O20*Parametros!$B$7</f>
        <v>14.40256</v>
      </c>
      <c r="V20" s="26" t="n">
        <f aca="false">R20*S20*Parametros!$B$5</f>
        <v>23.7776</v>
      </c>
      <c r="W20" s="26" t="n">
        <f aca="false">SUM(T20:V20)</f>
        <v>100.40256</v>
      </c>
    </row>
    <row r="21" customFormat="false" ht="15" hidden="false" customHeight="false" outlineLevel="0" collapsed="false">
      <c r="A21" s="7" t="s">
        <v>265</v>
      </c>
      <c r="B21" s="7" t="s">
        <v>266</v>
      </c>
      <c r="C21" s="7" t="s">
        <v>267</v>
      </c>
      <c r="D21" s="24" t="n">
        <v>0.25</v>
      </c>
      <c r="E21" s="24" t="n">
        <v>0.4</v>
      </c>
      <c r="F21" s="21" t="n">
        <v>2.68</v>
      </c>
      <c r="G21" s="21" t="n">
        <v>1.03</v>
      </c>
      <c r="H21" s="22" t="n">
        <f aca="false">F21-G21</f>
        <v>1.65</v>
      </c>
      <c r="I21" s="13" t="n">
        <f aca="false">MAX(0,E21-Parametros!$B$11)</f>
        <v>0</v>
      </c>
      <c r="J21" s="22" t="n">
        <f aca="false">D21*E21*G21+D21*I21*H21</f>
        <v>0.103</v>
      </c>
      <c r="K21" s="22" t="n">
        <f aca="false">2*E21*G21+2*I21*H21</f>
        <v>0.824</v>
      </c>
      <c r="L21" s="22" t="n">
        <f aca="false">IF(LEFT(B21,2)="VE",D21*G21,0)</f>
        <v>0</v>
      </c>
      <c r="M21" s="13" t="n">
        <f aca="false">IF(LEFT(B21,2)="VE",Parametros!$B$15,Parametros!$B$16)</f>
        <v>1.5</v>
      </c>
      <c r="N21" s="22" t="n">
        <f aca="false">D21*M21*G21</f>
        <v>0.38625</v>
      </c>
      <c r="O21" s="24" t="n">
        <v>3.98</v>
      </c>
      <c r="P21" s="25" t="n">
        <v>0</v>
      </c>
      <c r="Q21" s="25" t="n">
        <v>6</v>
      </c>
      <c r="R21" s="25" t="n">
        <v>14</v>
      </c>
      <c r="S21" s="24" t="n">
        <v>1.18</v>
      </c>
      <c r="T21" s="26" t="n">
        <f aca="false">P21*O21*Parametros!$B$8</f>
        <v>0</v>
      </c>
      <c r="U21" s="26" t="n">
        <f aca="false">Q21*O21*Parametros!$B$7</f>
        <v>37.06176</v>
      </c>
      <c r="V21" s="26" t="n">
        <f aca="false">R21*S21*Parametros!$B$5</f>
        <v>9.2512</v>
      </c>
      <c r="W21" s="26" t="n">
        <f aca="false">SUM(T21:V21)</f>
        <v>46.31296</v>
      </c>
    </row>
    <row r="22" customFormat="false" ht="15" hidden="false" customHeight="false" outlineLevel="0" collapsed="false">
      <c r="A22" s="7" t="s">
        <v>268</v>
      </c>
      <c r="B22" s="7" t="s">
        <v>266</v>
      </c>
      <c r="C22" s="7" t="s">
        <v>269</v>
      </c>
      <c r="D22" s="24" t="n">
        <v>0.25</v>
      </c>
      <c r="E22" s="24" t="n">
        <v>0.4</v>
      </c>
      <c r="F22" s="21" t="n">
        <v>2.68</v>
      </c>
      <c r="G22" s="21" t="n">
        <v>1.08</v>
      </c>
      <c r="H22" s="22" t="n">
        <f aca="false">F22-G22</f>
        <v>1.6</v>
      </c>
      <c r="I22" s="13" t="n">
        <f aca="false">MAX(0,E22-Parametros!$B$11)</f>
        <v>0</v>
      </c>
      <c r="J22" s="22" t="n">
        <f aca="false">D22*E22*G22+D22*I22*H22</f>
        <v>0.108</v>
      </c>
      <c r="K22" s="22" t="n">
        <f aca="false">2*E22*G22+2*I22*H22</f>
        <v>0.864</v>
      </c>
      <c r="L22" s="22" t="n">
        <f aca="false">IF(LEFT(B22,2)="VE",D22*G22,0)</f>
        <v>0</v>
      </c>
      <c r="M22" s="13" t="n">
        <f aca="false">IF(LEFT(B22,2)="VE",Parametros!$B$15,Parametros!$B$16)</f>
        <v>1.5</v>
      </c>
      <c r="N22" s="22" t="n">
        <f aca="false">D22*M22*G22</f>
        <v>0.405</v>
      </c>
      <c r="O22" s="24" t="n">
        <v>3.98</v>
      </c>
      <c r="P22" s="25" t="n">
        <v>0</v>
      </c>
      <c r="Q22" s="25" t="n">
        <v>6</v>
      </c>
      <c r="R22" s="25" t="n">
        <v>14</v>
      </c>
      <c r="S22" s="24" t="n">
        <v>1.18</v>
      </c>
      <c r="T22" s="26" t="n">
        <f aca="false">P22*O22*Parametros!$B$8</f>
        <v>0</v>
      </c>
      <c r="U22" s="26" t="n">
        <f aca="false">Q22*O22*Parametros!$B$7</f>
        <v>37.06176</v>
      </c>
      <c r="V22" s="26" t="n">
        <f aca="false">R22*S22*Parametros!$B$5</f>
        <v>9.2512</v>
      </c>
      <c r="W22" s="26" t="n">
        <f aca="false">SUM(T22:V22)</f>
        <v>46.31296</v>
      </c>
    </row>
    <row r="23" customFormat="false" ht="15" hidden="false" customHeight="false" outlineLevel="0" collapsed="false">
      <c r="A23" s="7" t="s">
        <v>270</v>
      </c>
      <c r="B23" s="7" t="s">
        <v>266</v>
      </c>
      <c r="C23" s="7" t="s">
        <v>271</v>
      </c>
      <c r="D23" s="24" t="n">
        <v>0.25</v>
      </c>
      <c r="E23" s="24" t="n">
        <v>0.4</v>
      </c>
      <c r="F23" s="21" t="n">
        <v>2.68</v>
      </c>
      <c r="G23" s="21" t="n">
        <v>1.03</v>
      </c>
      <c r="H23" s="22" t="n">
        <f aca="false">F23-G23</f>
        <v>1.65</v>
      </c>
      <c r="I23" s="13" t="n">
        <f aca="false">MAX(0,E23-Parametros!$B$11)</f>
        <v>0</v>
      </c>
      <c r="J23" s="22" t="n">
        <f aca="false">D23*E23*G23+D23*I23*H23</f>
        <v>0.103</v>
      </c>
      <c r="K23" s="22" t="n">
        <f aca="false">2*E23*G23+2*I23*H23</f>
        <v>0.824</v>
      </c>
      <c r="L23" s="22" t="n">
        <f aca="false">IF(LEFT(B23,2)="VE",D23*G23,0)</f>
        <v>0</v>
      </c>
      <c r="M23" s="13" t="n">
        <f aca="false">IF(LEFT(B23,2)="VE",Parametros!$B$15,Parametros!$B$16)</f>
        <v>1.5</v>
      </c>
      <c r="N23" s="22" t="n">
        <f aca="false">D23*M23*G23</f>
        <v>0.38625</v>
      </c>
      <c r="O23" s="24" t="n">
        <v>3.98</v>
      </c>
      <c r="P23" s="25" t="n">
        <v>0</v>
      </c>
      <c r="Q23" s="25" t="n">
        <v>6</v>
      </c>
      <c r="R23" s="25" t="n">
        <v>14</v>
      </c>
      <c r="S23" s="24" t="n">
        <v>1.18</v>
      </c>
      <c r="T23" s="26" t="n">
        <f aca="false">P23*O23*Parametros!$B$8</f>
        <v>0</v>
      </c>
      <c r="U23" s="26" t="n">
        <f aca="false">Q23*O23*Parametros!$B$7</f>
        <v>37.06176</v>
      </c>
      <c r="V23" s="26" t="n">
        <f aca="false">R23*S23*Parametros!$B$5</f>
        <v>9.2512</v>
      </c>
      <c r="W23" s="26" t="n">
        <f aca="false">SUM(T23:V23)</f>
        <v>46.31296</v>
      </c>
    </row>
    <row r="24" customFormat="false" ht="15" hidden="false" customHeight="false" outlineLevel="0" collapsed="false">
      <c r="A24" s="7" t="s">
        <v>272</v>
      </c>
      <c r="B24" s="7" t="s">
        <v>266</v>
      </c>
      <c r="C24" s="7" t="s">
        <v>273</v>
      </c>
      <c r="D24" s="24" t="n">
        <v>0.25</v>
      </c>
      <c r="E24" s="24" t="n">
        <v>0.4</v>
      </c>
      <c r="F24" s="21" t="n">
        <v>2.68</v>
      </c>
      <c r="G24" s="21" t="n">
        <v>1.08</v>
      </c>
      <c r="H24" s="22" t="n">
        <f aca="false">F24-G24</f>
        <v>1.6</v>
      </c>
      <c r="I24" s="13" t="n">
        <f aca="false">MAX(0,E24-Parametros!$B$11)</f>
        <v>0</v>
      </c>
      <c r="J24" s="22" t="n">
        <f aca="false">D24*E24*G24+D24*I24*H24</f>
        <v>0.108</v>
      </c>
      <c r="K24" s="22" t="n">
        <f aca="false">2*E24*G24+2*I24*H24</f>
        <v>0.864</v>
      </c>
      <c r="L24" s="22" t="n">
        <f aca="false">IF(LEFT(B24,2)="VE",D24*G24,0)</f>
        <v>0</v>
      </c>
      <c r="M24" s="13" t="n">
        <f aca="false">IF(LEFT(B24,2)="VE",Parametros!$B$15,Parametros!$B$16)</f>
        <v>1.5</v>
      </c>
      <c r="N24" s="22" t="n">
        <f aca="false">D24*M24*G24</f>
        <v>0.405</v>
      </c>
      <c r="O24" s="24" t="n">
        <v>3.98</v>
      </c>
      <c r="P24" s="25" t="n">
        <v>0</v>
      </c>
      <c r="Q24" s="25" t="n">
        <v>6</v>
      </c>
      <c r="R24" s="25" t="n">
        <v>14</v>
      </c>
      <c r="S24" s="24" t="n">
        <v>1.18</v>
      </c>
      <c r="T24" s="26" t="n">
        <f aca="false">P24*O24*Parametros!$B$8</f>
        <v>0</v>
      </c>
      <c r="U24" s="26" t="n">
        <f aca="false">Q24*O24*Parametros!$B$7</f>
        <v>37.06176</v>
      </c>
      <c r="V24" s="26" t="n">
        <f aca="false">R24*S24*Parametros!$B$5</f>
        <v>9.2512</v>
      </c>
      <c r="W24" s="26" t="n">
        <f aca="false">SUM(T24:V24)</f>
        <v>46.31296</v>
      </c>
    </row>
    <row r="25" customFormat="false" ht="15" hidden="false" customHeight="false" outlineLevel="0" collapsed="false">
      <c r="A25" s="7" t="s">
        <v>274</v>
      </c>
      <c r="B25" s="7" t="s">
        <v>266</v>
      </c>
      <c r="C25" s="7" t="s">
        <v>275</v>
      </c>
      <c r="D25" s="24" t="n">
        <v>0.25</v>
      </c>
      <c r="E25" s="24" t="n">
        <v>0.4</v>
      </c>
      <c r="F25" s="21" t="n">
        <v>2.83</v>
      </c>
      <c r="G25" s="21" t="n">
        <v>1.105</v>
      </c>
      <c r="H25" s="22" t="n">
        <f aca="false">F25-G25</f>
        <v>1.725</v>
      </c>
      <c r="I25" s="13" t="n">
        <f aca="false">MAX(0,E25-Parametros!$B$11)</f>
        <v>0</v>
      </c>
      <c r="J25" s="22" t="n">
        <f aca="false">D25*E25*G25+D25*I25*H25</f>
        <v>0.1105</v>
      </c>
      <c r="K25" s="22" t="n">
        <f aca="false">2*E25*G25+2*I25*H25</f>
        <v>0.884</v>
      </c>
      <c r="L25" s="22" t="n">
        <f aca="false">IF(LEFT(B25,2)="VE",D25*G25,0)</f>
        <v>0</v>
      </c>
      <c r="M25" s="13" t="n">
        <f aca="false">IF(LEFT(B25,2)="VE",Parametros!$B$15,Parametros!$B$16)</f>
        <v>1.5</v>
      </c>
      <c r="N25" s="22" t="n">
        <f aca="false">D25*M25*G25</f>
        <v>0.414375</v>
      </c>
      <c r="O25" s="24" t="n">
        <v>4.13</v>
      </c>
      <c r="P25" s="25" t="n">
        <v>0</v>
      </c>
      <c r="Q25" s="25" t="n">
        <v>6</v>
      </c>
      <c r="R25" s="25" t="n">
        <v>15</v>
      </c>
      <c r="S25" s="24" t="n">
        <v>1.18</v>
      </c>
      <c r="T25" s="26" t="n">
        <f aca="false">P25*O25*Parametros!$B$8</f>
        <v>0</v>
      </c>
      <c r="U25" s="26" t="n">
        <f aca="false">Q25*O25*Parametros!$B$7</f>
        <v>38.45856</v>
      </c>
      <c r="V25" s="26" t="n">
        <f aca="false">R25*S25*Parametros!$B$5</f>
        <v>9.912</v>
      </c>
      <c r="W25" s="26" t="n">
        <f aca="false">SUM(T25:V25)</f>
        <v>48.37056</v>
      </c>
    </row>
    <row r="26" customFormat="false" ht="15" hidden="false" customHeight="false" outlineLevel="0" collapsed="false">
      <c r="A26" s="7" t="s">
        <v>276</v>
      </c>
      <c r="B26" s="7" t="s">
        <v>266</v>
      </c>
      <c r="C26" s="7" t="s">
        <v>277</v>
      </c>
      <c r="D26" s="24" t="n">
        <v>0.25</v>
      </c>
      <c r="E26" s="24" t="n">
        <v>0.4</v>
      </c>
      <c r="F26" s="21" t="n">
        <v>2.83</v>
      </c>
      <c r="G26" s="21" t="n">
        <v>1.23</v>
      </c>
      <c r="H26" s="22" t="n">
        <f aca="false">F26-G26</f>
        <v>1.6</v>
      </c>
      <c r="I26" s="13" t="n">
        <f aca="false">MAX(0,E26-Parametros!$B$11)</f>
        <v>0</v>
      </c>
      <c r="J26" s="22" t="n">
        <f aca="false">D26*E26*G26+D26*I26*H26</f>
        <v>0.123</v>
      </c>
      <c r="K26" s="22" t="n">
        <f aca="false">2*E26*G26+2*I26*H26</f>
        <v>0.984</v>
      </c>
      <c r="L26" s="22" t="n">
        <f aca="false">IF(LEFT(B26,2)="VE",D26*G26,0)</f>
        <v>0</v>
      </c>
      <c r="M26" s="13" t="n">
        <f aca="false">IF(LEFT(B26,2)="VE",Parametros!$B$15,Parametros!$B$16)</f>
        <v>1.5</v>
      </c>
      <c r="N26" s="22" t="n">
        <f aca="false">D26*M26*G26</f>
        <v>0.46125</v>
      </c>
      <c r="O26" s="24" t="n">
        <v>4.13</v>
      </c>
      <c r="P26" s="25" t="n">
        <v>0</v>
      </c>
      <c r="Q26" s="25" t="n">
        <v>6</v>
      </c>
      <c r="R26" s="25" t="n">
        <v>15</v>
      </c>
      <c r="S26" s="24" t="n">
        <v>1.18</v>
      </c>
      <c r="T26" s="26" t="n">
        <f aca="false">P26*O26*Parametros!$B$8</f>
        <v>0</v>
      </c>
      <c r="U26" s="26" t="n">
        <f aca="false">Q26*O26*Parametros!$B$7</f>
        <v>38.45856</v>
      </c>
      <c r="V26" s="26" t="n">
        <f aca="false">R26*S26*Parametros!$B$5</f>
        <v>9.912</v>
      </c>
      <c r="W26" s="26" t="n">
        <f aca="false">SUM(T26:V26)</f>
        <v>48.37056</v>
      </c>
    </row>
    <row r="28" customFormat="false" ht="15" hidden="false" customHeight="false" outlineLevel="0" collapsed="false">
      <c r="A28" s="5" t="s">
        <v>278</v>
      </c>
      <c r="B28" s="5" t="s">
        <v>232</v>
      </c>
      <c r="C28" s="4" t="str">
        <f aca="false">COUNTIF($B$5:$B$26,B28)&amp;" und"</f>
        <v>4 und</v>
      </c>
      <c r="F28" s="28" t="n">
        <f aca="false">SUMIF($B$5:$B$26,$B28,F$5:F$26)</f>
        <v>14.39</v>
      </c>
      <c r="G28" s="28" t="n">
        <f aca="false">SUMIF($B$5:$B$26,$B28,G$5:G$26)</f>
        <v>6.665</v>
      </c>
      <c r="H28" s="28" t="n">
        <f aca="false">SUMIF($B$5:$B$26,$B28,H$5:H$26)</f>
        <v>7.725</v>
      </c>
      <c r="J28" s="28" t="n">
        <f aca="false">SUMIF($B$5:$B$26,$B28,J$5:J$26)</f>
        <v>1.86315</v>
      </c>
      <c r="K28" s="28" t="n">
        <f aca="false">SUMIF($B$5:$B$26,$B28,K$5:K$26)</f>
        <v>12.421</v>
      </c>
      <c r="L28" s="28" t="n">
        <f aca="false">SUMIF($B$5:$B$26,$B28,L$5:L$26)</f>
        <v>1.9995</v>
      </c>
      <c r="N28" s="28" t="n">
        <f aca="false">SUMIF($B$5:$B$26,$B28,N$5:N$26)</f>
        <v>3.1992</v>
      </c>
      <c r="T28" s="28" t="n">
        <f aca="false">SUMIF($B$5:$B$26,$B28,T$5:T$26)</f>
        <v>364.5732</v>
      </c>
      <c r="U28" s="28" t="n">
        <f aca="false">SUMIF($B$5:$B$26,$B28,U$5:U$26)</f>
        <v>63.29056</v>
      </c>
      <c r="V28" s="28" t="n">
        <f aca="false">SUMIF($B$5:$B$26,$B28,V$5:V$26)</f>
        <v>106.9992</v>
      </c>
      <c r="W28" s="28" t="n">
        <f aca="false">SUMIF($B$5:$B$26,$B28,W$5:W$26)</f>
        <v>534.86296</v>
      </c>
    </row>
    <row r="29" customFormat="false" ht="15" hidden="false" customHeight="false" outlineLevel="0" collapsed="false">
      <c r="A29" s="5" t="s">
        <v>278</v>
      </c>
      <c r="B29" s="5" t="s">
        <v>241</v>
      </c>
      <c r="C29" s="4" t="str">
        <f aca="false">COUNTIF($B$5:$B$26,B29)&amp;" und"</f>
        <v>12 und</v>
      </c>
      <c r="F29" s="28" t="n">
        <f aca="false">SUMIF($B$5:$B$26,$B29,F$5:F$26)</f>
        <v>41.08</v>
      </c>
      <c r="G29" s="28" t="n">
        <f aca="false">SUMIF($B$5:$B$26,$B29,G$5:G$26)</f>
        <v>17.86</v>
      </c>
      <c r="H29" s="28" t="n">
        <f aca="false">SUMIF($B$5:$B$26,$B29,H$5:H$26)</f>
        <v>23.22</v>
      </c>
      <c r="J29" s="28" t="n">
        <f aca="false">SUMIF($B$5:$B$26,$B29,J$5:J$26)</f>
        <v>5.1438</v>
      </c>
      <c r="K29" s="28" t="n">
        <f aca="false">SUMIF($B$5:$B$26,$B29,K$5:K$26)</f>
        <v>34.292</v>
      </c>
      <c r="L29" s="28" t="n">
        <f aca="false">SUMIF($B$5:$B$26,$B29,L$5:L$26)</f>
        <v>5.358</v>
      </c>
      <c r="N29" s="28" t="n">
        <f aca="false">SUMIF($B$5:$B$26,$B29,N$5:N$26)</f>
        <v>8.5728</v>
      </c>
      <c r="T29" s="28" t="n">
        <f aca="false">SUMIF($B$5:$B$26,$B29,T$5:T$26)</f>
        <v>792.2628</v>
      </c>
      <c r="U29" s="28" t="n">
        <f aca="false">SUMIF($B$5:$B$26,$B29,U$5:U$26)</f>
        <v>183.38432</v>
      </c>
      <c r="V29" s="28" t="n">
        <f aca="false">SUMIF($B$5:$B$26,$B29,V$5:V$26)</f>
        <v>304.7856</v>
      </c>
      <c r="W29" s="28" t="n">
        <f aca="false">SUMIF($B$5:$B$26,$B29,W$5:W$26)</f>
        <v>1280.43272</v>
      </c>
    </row>
    <row r="30" customFormat="false" ht="15" hidden="false" customHeight="false" outlineLevel="0" collapsed="false">
      <c r="A30" s="5" t="s">
        <v>278</v>
      </c>
      <c r="B30" s="5" t="s">
        <v>266</v>
      </c>
      <c r="C30" s="4" t="str">
        <f aca="false">COUNTIF($B$5:$B$26,B30)&amp;" und"</f>
        <v>6 und</v>
      </c>
      <c r="F30" s="28" t="n">
        <f aca="false">SUMIF($B$5:$B$26,$B30,F$5:F$26)</f>
        <v>16.38</v>
      </c>
      <c r="G30" s="28" t="n">
        <f aca="false">SUMIF($B$5:$B$26,$B30,G$5:G$26)</f>
        <v>6.555</v>
      </c>
      <c r="H30" s="28" t="n">
        <f aca="false">SUMIF($B$5:$B$26,$B30,H$5:H$26)</f>
        <v>9.825</v>
      </c>
      <c r="J30" s="28" t="n">
        <f aca="false">SUMIF($B$5:$B$26,$B30,J$5:J$26)</f>
        <v>0.6555</v>
      </c>
      <c r="K30" s="28" t="n">
        <f aca="false">SUMIF($B$5:$B$26,$B30,K$5:K$26)</f>
        <v>5.244</v>
      </c>
      <c r="L30" s="28" t="n">
        <f aca="false">SUMIF($B$5:$B$26,$B30,L$5:L$26)</f>
        <v>0</v>
      </c>
      <c r="N30" s="28" t="n">
        <f aca="false">SUMIF($B$5:$B$26,$B30,N$5:N$26)</f>
        <v>2.458125</v>
      </c>
      <c r="T30" s="28" t="n">
        <f aca="false">SUMIF($B$5:$B$26,$B30,T$5:T$26)</f>
        <v>0</v>
      </c>
      <c r="U30" s="28" t="n">
        <f aca="false">SUMIF($B$5:$B$26,$B30,U$5:U$26)</f>
        <v>225.16416</v>
      </c>
      <c r="V30" s="28" t="n">
        <f aca="false">SUMIF($B$5:$B$26,$B30,V$5:V$26)</f>
        <v>56.8288</v>
      </c>
      <c r="W30" s="28" t="n">
        <f aca="false">SUMIF($B$5:$B$26,$B30,W$5:W$26)</f>
        <v>281.99296</v>
      </c>
    </row>
    <row r="31" customFormat="false" ht="15" hidden="false" customHeight="false" outlineLevel="0" collapsed="false">
      <c r="A31" s="10" t="s">
        <v>65</v>
      </c>
      <c r="F31" s="14" t="n">
        <f aca="false">SUM(F28:F30)</f>
        <v>71.85</v>
      </c>
      <c r="G31" s="14" t="n">
        <f aca="false">SUM(G28:G30)</f>
        <v>31.08</v>
      </c>
      <c r="H31" s="14" t="n">
        <f aca="false">SUM(H28:H30)</f>
        <v>40.77</v>
      </c>
      <c r="J31" s="14" t="n">
        <f aca="false">SUM(J28:J30)</f>
        <v>7.66245</v>
      </c>
      <c r="K31" s="14" t="n">
        <f aca="false">SUM(K28:K30)</f>
        <v>51.957</v>
      </c>
      <c r="L31" s="14" t="n">
        <f aca="false">SUM(L28:L30)</f>
        <v>7.3575</v>
      </c>
      <c r="N31" s="14" t="n">
        <f aca="false">SUM(N28:N30)</f>
        <v>14.230125</v>
      </c>
      <c r="T31" s="14" t="n">
        <f aca="false">SUM(T28:T30)</f>
        <v>1156.836</v>
      </c>
      <c r="U31" s="14" t="n">
        <f aca="false">SUM(U28:U30)</f>
        <v>471.83904</v>
      </c>
      <c r="V31" s="14" t="n">
        <f aca="false">SUM(V28:V30)</f>
        <v>468.6136</v>
      </c>
      <c r="W31" s="14" t="n">
        <f aca="false">SUM(W28:W30)</f>
        <v>2097.28864</v>
      </c>
    </row>
    <row r="33" customFormat="false" ht="15" hidden="false" customHeight="false" outlineLevel="0" collapsed="false">
      <c r="A33" s="18" t="s">
        <v>279</v>
      </c>
    </row>
    <row r="34" customFormat="false" ht="15" hidden="false" customHeight="false" outlineLevel="0" collapsed="false">
      <c r="A34" s="18" t="s">
        <v>280</v>
      </c>
    </row>
    <row r="35" customFormat="false" ht="15" hidden="false" customHeight="false" outlineLevel="0" collapsed="false">
      <c r="A35" s="18" t="s">
        <v>281</v>
      </c>
    </row>
    <row r="36" customFormat="false" ht="15" hidden="false" customHeight="false" outlineLevel="0" collapsed="false">
      <c r="A36" s="18" t="s">
        <v>282</v>
      </c>
    </row>
    <row r="37" customFormat="false" ht="15" hidden="false" customHeight="false" outlineLevel="0" collapsed="false">
      <c r="A37" s="18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6" min="2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16.1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36" hidden="false" customHeight="true" outlineLevel="0" collapsed="false">
      <c r="A4" s="3" t="s">
        <v>180</v>
      </c>
      <c r="B4" s="3" t="s">
        <v>214</v>
      </c>
      <c r="C4" s="3" t="s">
        <v>181</v>
      </c>
      <c r="D4" s="3" t="s">
        <v>286</v>
      </c>
      <c r="E4" s="3" t="s">
        <v>287</v>
      </c>
      <c r="F4" s="3" t="s">
        <v>288</v>
      </c>
      <c r="G4" s="3" t="s">
        <v>289</v>
      </c>
    </row>
    <row r="5" customFormat="false" ht="15" hidden="false" customHeight="false" outlineLevel="0" collapsed="false">
      <c r="A5" s="7" t="s">
        <v>290</v>
      </c>
      <c r="B5" s="7" t="s">
        <v>207</v>
      </c>
      <c r="C5" s="25" t="n">
        <v>4</v>
      </c>
      <c r="D5" s="24" t="n">
        <v>0.3</v>
      </c>
      <c r="E5" s="24" t="n">
        <v>0.5</v>
      </c>
      <c r="F5" s="22" t="n">
        <f aca="false">D5*E5</f>
        <v>0.15</v>
      </c>
      <c r="G5" s="13" t="n">
        <f aca="false">2*(D5+E5)</f>
        <v>1.6</v>
      </c>
    </row>
    <row r="6" customFormat="false" ht="15" hidden="false" customHeight="false" outlineLevel="0" collapsed="false">
      <c r="A6" s="7" t="s">
        <v>291</v>
      </c>
      <c r="B6" s="7" t="s">
        <v>292</v>
      </c>
      <c r="C6" s="25" t="n">
        <v>6</v>
      </c>
      <c r="D6" s="24" t="n">
        <v>0.3</v>
      </c>
      <c r="E6" s="24" t="n">
        <v>0.5</v>
      </c>
      <c r="F6" s="22" t="n">
        <f aca="false">D6*E6</f>
        <v>0.15</v>
      </c>
      <c r="G6" s="13" t="n">
        <f aca="false">2*(D6+E6)</f>
        <v>1.6</v>
      </c>
    </row>
    <row r="7" customFormat="false" ht="15" hidden="false" customHeight="false" outlineLevel="0" collapsed="false">
      <c r="A7" s="7" t="s">
        <v>293</v>
      </c>
      <c r="B7" s="7" t="s">
        <v>294</v>
      </c>
      <c r="C7" s="25" t="n">
        <v>2</v>
      </c>
      <c r="D7" s="24" t="n">
        <v>0.6</v>
      </c>
      <c r="E7" s="24" t="n">
        <v>0.3</v>
      </c>
      <c r="F7" s="22" t="n">
        <f aca="false">D7*E7</f>
        <v>0.18</v>
      </c>
      <c r="G7" s="13" t="n">
        <f aca="false">2*(D7+E7)</f>
        <v>1.8</v>
      </c>
    </row>
    <row r="8" customFormat="false" ht="15" hidden="false" customHeight="false" outlineLevel="0" collapsed="false">
      <c r="A8" s="7" t="s">
        <v>295</v>
      </c>
      <c r="B8" s="7" t="s">
        <v>296</v>
      </c>
      <c r="C8" s="25" t="n">
        <v>3</v>
      </c>
      <c r="D8" s="24" t="n">
        <v>0.6</v>
      </c>
      <c r="E8" s="24" t="n">
        <v>0.35</v>
      </c>
      <c r="F8" s="22" t="n">
        <f aca="false">D8*E8</f>
        <v>0.21</v>
      </c>
      <c r="G8" s="13" t="n">
        <f aca="false">2*(D8+E8)</f>
        <v>1.9</v>
      </c>
    </row>
    <row r="10" customFormat="false" ht="15" hidden="false" customHeight="false" outlineLevel="0" collapsed="false">
      <c r="A10" s="29" t="s">
        <v>297</v>
      </c>
    </row>
    <row r="11" customFormat="false" ht="36" hidden="false" customHeight="true" outlineLevel="0" collapsed="false">
      <c r="A11" s="3" t="s">
        <v>180</v>
      </c>
      <c r="B11" s="3" t="s">
        <v>181</v>
      </c>
      <c r="C11" s="3" t="s">
        <v>298</v>
      </c>
      <c r="D11" s="3" t="s">
        <v>299</v>
      </c>
      <c r="E11" s="3" t="s">
        <v>300</v>
      </c>
      <c r="F11" s="3" t="s">
        <v>301</v>
      </c>
      <c r="G11" s="3" t="s">
        <v>302</v>
      </c>
      <c r="H11" s="3" t="s">
        <v>303</v>
      </c>
      <c r="I11" s="3" t="s">
        <v>304</v>
      </c>
      <c r="J11" s="3" t="s">
        <v>305</v>
      </c>
      <c r="K11" s="3" t="s">
        <v>306</v>
      </c>
    </row>
    <row r="12" customFormat="false" ht="15" hidden="false" customHeight="false" outlineLevel="0" collapsed="false">
      <c r="A12" s="7" t="str">
        <f aca="false">A5</f>
        <v>C-1</v>
      </c>
      <c r="B12" s="30" t="n">
        <f aca="false">C5</f>
        <v>4</v>
      </c>
      <c r="C12" s="13" t="n">
        <f aca="false">0-Parametros!$B$17</f>
        <v>1</v>
      </c>
      <c r="D12" s="13" t="n">
        <f aca="false">Parametros!$B$18-0</f>
        <v>2.8</v>
      </c>
      <c r="E12" s="13" t="n">
        <f aca="false">Parametros!$B$19-Parametros!$B$18</f>
        <v>2.8</v>
      </c>
      <c r="F12" s="13" t="n">
        <f aca="false">Parametros!$B$20-Parametros!$B$19</f>
        <v>2.8</v>
      </c>
      <c r="G12" s="22" t="n">
        <f aca="false">$F5*C12*$B12</f>
        <v>0.6</v>
      </c>
      <c r="H12" s="22" t="n">
        <f aca="false">$F5*D12*$B12</f>
        <v>1.68</v>
      </c>
      <c r="I12" s="22" t="n">
        <f aca="false">$F5*E12*$B12</f>
        <v>1.68</v>
      </c>
      <c r="J12" s="22" t="n">
        <f aca="false">$F5*F12*$B12</f>
        <v>1.68</v>
      </c>
      <c r="K12" s="22" t="n">
        <f aca="false">SUM(G12:J12)</f>
        <v>5.64</v>
      </c>
    </row>
    <row r="13" customFormat="false" ht="15" hidden="false" customHeight="false" outlineLevel="0" collapsed="false">
      <c r="A13" s="7" t="str">
        <f aca="false">A6</f>
        <v>C-2</v>
      </c>
      <c r="B13" s="30" t="n">
        <f aca="false">C6</f>
        <v>6</v>
      </c>
      <c r="C13" s="13" t="n">
        <f aca="false">0-Parametros!$B$17</f>
        <v>1</v>
      </c>
      <c r="D13" s="13" t="n">
        <f aca="false">Parametros!$B$18-0</f>
        <v>2.8</v>
      </c>
      <c r="E13" s="13" t="n">
        <f aca="false">Parametros!$B$19-Parametros!$B$18</f>
        <v>2.8</v>
      </c>
      <c r="F13" s="13" t="n">
        <f aca="false">Parametros!$B$20-Parametros!$B$19</f>
        <v>2.8</v>
      </c>
      <c r="G13" s="22" t="n">
        <f aca="false">$F6*C13*$B13</f>
        <v>0.9</v>
      </c>
      <c r="H13" s="22" t="n">
        <f aca="false">$F6*D13*$B13</f>
        <v>2.52</v>
      </c>
      <c r="I13" s="22" t="n">
        <f aca="false">$F6*E13*$B13</f>
        <v>2.52</v>
      </c>
      <c r="J13" s="22" t="n">
        <f aca="false">$F6*F13*$B13</f>
        <v>2.52</v>
      </c>
      <c r="K13" s="22" t="n">
        <f aca="false">SUM(G13:J13)</f>
        <v>8.46</v>
      </c>
    </row>
    <row r="14" customFormat="false" ht="15" hidden="false" customHeight="false" outlineLevel="0" collapsed="false">
      <c r="A14" s="7" t="str">
        <f aca="false">A7</f>
        <v>C-3</v>
      </c>
      <c r="B14" s="30" t="n">
        <f aca="false">C7</f>
        <v>2</v>
      </c>
      <c r="C14" s="13" t="n">
        <f aca="false">0-Parametros!$B$17</f>
        <v>1</v>
      </c>
      <c r="D14" s="13" t="n">
        <f aca="false">Parametros!$B$18-0</f>
        <v>2.8</v>
      </c>
      <c r="E14" s="13" t="n">
        <f aca="false">Parametros!$B$19-Parametros!$B$18</f>
        <v>2.8</v>
      </c>
      <c r="F14" s="13" t="n">
        <f aca="false">Parametros!$B$20-Parametros!$B$19</f>
        <v>2.8</v>
      </c>
      <c r="G14" s="22" t="n">
        <f aca="false">$F7*C14*$B14</f>
        <v>0.36</v>
      </c>
      <c r="H14" s="22" t="n">
        <f aca="false">$F7*D14*$B14</f>
        <v>1.008</v>
      </c>
      <c r="I14" s="22" t="n">
        <f aca="false">$F7*E14*$B14</f>
        <v>1.008</v>
      </c>
      <c r="J14" s="22" t="n">
        <f aca="false">$F7*F14*$B14</f>
        <v>1.008</v>
      </c>
      <c r="K14" s="22" t="n">
        <f aca="false">SUM(G14:J14)</f>
        <v>3.384</v>
      </c>
    </row>
    <row r="15" customFormat="false" ht="15" hidden="false" customHeight="false" outlineLevel="0" collapsed="false">
      <c r="A15" s="7" t="str">
        <f aca="false">A8</f>
        <v>C-4</v>
      </c>
      <c r="B15" s="30" t="n">
        <f aca="false">C8</f>
        <v>3</v>
      </c>
      <c r="C15" s="13" t="n">
        <f aca="false">0-Parametros!$B$17</f>
        <v>1</v>
      </c>
      <c r="D15" s="13" t="n">
        <f aca="false">Parametros!$B$18-0</f>
        <v>2.8</v>
      </c>
      <c r="E15" s="13" t="n">
        <f aca="false">Parametros!$B$19-Parametros!$B$18</f>
        <v>2.8</v>
      </c>
      <c r="F15" s="13" t="n">
        <f aca="false">Parametros!$B$20-Parametros!$B$19</f>
        <v>2.8</v>
      </c>
      <c r="G15" s="22" t="n">
        <f aca="false">$F8*C15*$B15</f>
        <v>0.63</v>
      </c>
      <c r="H15" s="22" t="n">
        <f aca="false">$F8*D15*$B15</f>
        <v>1.764</v>
      </c>
      <c r="I15" s="22" t="n">
        <f aca="false">$F8*E15*$B15</f>
        <v>1.764</v>
      </c>
      <c r="J15" s="22" t="n">
        <f aca="false">$F8*F15*$B15</f>
        <v>1.764</v>
      </c>
      <c r="K15" s="22" t="n">
        <f aca="false">SUM(G15:J15)</f>
        <v>5.922</v>
      </c>
    </row>
    <row r="16" customFormat="false" ht="15" hidden="false" customHeight="false" outlineLevel="0" collapsed="false">
      <c r="A16" s="10" t="s">
        <v>65</v>
      </c>
      <c r="G16" s="31" t="n">
        <f aca="false">SUM(G12:G15)</f>
        <v>2.49</v>
      </c>
      <c r="H16" s="31" t="n">
        <f aca="false">SUM(H12:H15)</f>
        <v>6.972</v>
      </c>
      <c r="I16" s="31" t="n">
        <f aca="false">SUM(I12:I15)</f>
        <v>6.972</v>
      </c>
      <c r="J16" s="31" t="n">
        <f aca="false">SUM(J12:J15)</f>
        <v>6.972</v>
      </c>
      <c r="K16" s="31" t="n">
        <f aca="false">SUM(K12:K15)</f>
        <v>23.406</v>
      </c>
    </row>
    <row r="18" customFormat="false" ht="15" hidden="false" customHeight="false" outlineLevel="0" collapsed="false">
      <c r="A18" s="29" t="s">
        <v>307</v>
      </c>
    </row>
    <row r="19" customFormat="false" ht="36" hidden="false" customHeight="true" outlineLevel="0" collapsed="false">
      <c r="A19" s="3" t="s">
        <v>180</v>
      </c>
      <c r="B19" s="3" t="s">
        <v>181</v>
      </c>
      <c r="C19" s="3" t="s">
        <v>308</v>
      </c>
      <c r="D19" s="3" t="s">
        <v>309</v>
      </c>
      <c r="E19" s="3" t="s">
        <v>310</v>
      </c>
      <c r="F19" s="3" t="s">
        <v>311</v>
      </c>
      <c r="G19" s="3" t="s">
        <v>312</v>
      </c>
      <c r="H19" s="3" t="s">
        <v>313</v>
      </c>
      <c r="I19" s="3" t="s">
        <v>314</v>
      </c>
      <c r="J19" s="3" t="s">
        <v>315</v>
      </c>
      <c r="K19" s="3" t="s">
        <v>316</v>
      </c>
    </row>
    <row r="20" customFormat="false" ht="15" hidden="false" customHeight="false" outlineLevel="0" collapsed="false">
      <c r="A20" s="7" t="str">
        <f aca="false">A5</f>
        <v>C-1</v>
      </c>
      <c r="B20" s="30" t="n">
        <f aca="false">C5</f>
        <v>4</v>
      </c>
      <c r="C20" s="13" t="n">
        <f aca="false">0-Parametros!$B$17</f>
        <v>1</v>
      </c>
      <c r="D20" s="13" t="n">
        <f aca="false">Parametros!$B$18-Parametros!$B$21</f>
        <v>2.3</v>
      </c>
      <c r="E20" s="13" t="n">
        <f aca="false">Parametros!$B$19-Parametros!$B$21-Parametros!$B$18</f>
        <v>2.3</v>
      </c>
      <c r="F20" s="13" t="n">
        <f aca="false">Parametros!$B$20-Parametros!$B$21-Parametros!$B$19</f>
        <v>2.3</v>
      </c>
      <c r="G20" s="22" t="n">
        <f aca="false">G5*SUM(C20:F20)*B20</f>
        <v>50.56</v>
      </c>
      <c r="H20" s="24" t="n">
        <v>0.8</v>
      </c>
      <c r="I20" s="25" t="n">
        <v>3</v>
      </c>
      <c r="J20" s="22" t="n">
        <f aca="false">H20*Parametros!$B$21*I20*B20</f>
        <v>4.8</v>
      </c>
      <c r="K20" s="22" t="n">
        <f aca="false">G20+J20</f>
        <v>55.36</v>
      </c>
    </row>
    <row r="21" customFormat="false" ht="15" hidden="false" customHeight="false" outlineLevel="0" collapsed="false">
      <c r="A21" s="7" t="str">
        <f aca="false">A6</f>
        <v>C-2</v>
      </c>
      <c r="B21" s="30" t="n">
        <f aca="false">C6</f>
        <v>6</v>
      </c>
      <c r="C21" s="13" t="n">
        <f aca="false">0-Parametros!$B$17</f>
        <v>1</v>
      </c>
      <c r="D21" s="13" t="n">
        <f aca="false">Parametros!$B$18-Parametros!$B$21</f>
        <v>2.3</v>
      </c>
      <c r="E21" s="13" t="n">
        <f aca="false">Parametros!$B$19-Parametros!$B$21-Parametros!$B$18</f>
        <v>2.3</v>
      </c>
      <c r="F21" s="13" t="n">
        <f aca="false">Parametros!$B$20-Parametros!$B$21-Parametros!$B$19</f>
        <v>2.3</v>
      </c>
      <c r="G21" s="22" t="n">
        <f aca="false">G6*SUM(C21:F21)*B21</f>
        <v>75.84</v>
      </c>
      <c r="H21" s="24" t="n">
        <v>0.5</v>
      </c>
      <c r="I21" s="25" t="n">
        <v>3</v>
      </c>
      <c r="J21" s="22" t="n">
        <f aca="false">H21*Parametros!$B$21*I21*B21</f>
        <v>4.5</v>
      </c>
      <c r="K21" s="22" t="n">
        <f aca="false">G21+J21</f>
        <v>80.34</v>
      </c>
    </row>
    <row r="22" customFormat="false" ht="15" hidden="false" customHeight="false" outlineLevel="0" collapsed="false">
      <c r="A22" s="7" t="str">
        <f aca="false">A7</f>
        <v>C-3</v>
      </c>
      <c r="B22" s="30" t="n">
        <f aca="false">C7</f>
        <v>2</v>
      </c>
      <c r="C22" s="13" t="n">
        <f aca="false">0-Parametros!$B$17</f>
        <v>1</v>
      </c>
      <c r="D22" s="13" t="n">
        <f aca="false">Parametros!$B$18-Parametros!$B$21</f>
        <v>2.3</v>
      </c>
      <c r="E22" s="13" t="n">
        <f aca="false">Parametros!$B$19-Parametros!$B$21-Parametros!$B$18</f>
        <v>2.3</v>
      </c>
      <c r="F22" s="13" t="n">
        <f aca="false">Parametros!$B$20-Parametros!$B$21-Parametros!$B$19</f>
        <v>2.3</v>
      </c>
      <c r="G22" s="22" t="n">
        <f aca="false">G7*SUM(C22:F22)*B22</f>
        <v>28.44</v>
      </c>
      <c r="H22" s="24" t="n">
        <v>0.6</v>
      </c>
      <c r="I22" s="25" t="n">
        <v>3</v>
      </c>
      <c r="J22" s="22" t="n">
        <f aca="false">H22*Parametros!$B$21*I22*B22</f>
        <v>1.8</v>
      </c>
      <c r="K22" s="22" t="n">
        <f aca="false">G22+J22</f>
        <v>30.24</v>
      </c>
    </row>
    <row r="23" customFormat="false" ht="15" hidden="false" customHeight="false" outlineLevel="0" collapsed="false">
      <c r="A23" s="7" t="str">
        <f aca="false">A8</f>
        <v>C-4</v>
      </c>
      <c r="B23" s="30" t="n">
        <f aca="false">C8</f>
        <v>3</v>
      </c>
      <c r="C23" s="13" t="n">
        <f aca="false">0-Parametros!$B$17</f>
        <v>1</v>
      </c>
      <c r="D23" s="13" t="n">
        <f aca="false">Parametros!$B$18-Parametros!$B$21</f>
        <v>2.3</v>
      </c>
      <c r="E23" s="13" t="n">
        <f aca="false">Parametros!$B$19-Parametros!$B$21-Parametros!$B$18</f>
        <v>2.3</v>
      </c>
      <c r="F23" s="13" t="n">
        <f aca="false">Parametros!$B$20-Parametros!$B$21-Parametros!$B$19</f>
        <v>2.3</v>
      </c>
      <c r="G23" s="22" t="n">
        <f aca="false">G8*SUM(C23:F23)*B23</f>
        <v>45.03</v>
      </c>
      <c r="H23" s="24" t="n">
        <v>0</v>
      </c>
      <c r="I23" s="25" t="n">
        <v>3</v>
      </c>
      <c r="J23" s="22" t="n">
        <f aca="false">H23*Parametros!$B$21*I23*B23</f>
        <v>0</v>
      </c>
      <c r="K23" s="22" t="n">
        <f aca="false">G23+J23</f>
        <v>45.03</v>
      </c>
    </row>
    <row r="24" customFormat="false" ht="15" hidden="false" customHeight="false" outlineLevel="0" collapsed="false">
      <c r="A24" s="10" t="s">
        <v>65</v>
      </c>
      <c r="G24" s="31" t="n">
        <f aca="false">SUM(G20:G23)</f>
        <v>199.87</v>
      </c>
      <c r="J24" s="31" t="n">
        <f aca="false">SUM(J20:J23)</f>
        <v>11.1</v>
      </c>
      <c r="K24" s="31" t="n">
        <f aca="false">SUM(K20:K23)</f>
        <v>210.97</v>
      </c>
    </row>
    <row r="25" customFormat="false" ht="15" hidden="false" customHeight="false" outlineLevel="0" collapsed="false">
      <c r="A25" s="18" t="s">
        <v>317</v>
      </c>
    </row>
    <row r="26" customFormat="false" ht="15" hidden="false" customHeight="false" outlineLevel="0" collapsed="false">
      <c r="A26" s="18" t="s">
        <v>318</v>
      </c>
    </row>
    <row r="28" customFormat="false" ht="15" hidden="false" customHeight="false" outlineLevel="0" collapsed="false">
      <c r="A28" s="29" t="s">
        <v>319</v>
      </c>
    </row>
    <row r="29" customFormat="false" ht="36" hidden="false" customHeight="true" outlineLevel="0" collapsed="false">
      <c r="A29" s="3" t="s">
        <v>180</v>
      </c>
      <c r="B29" s="3" t="s">
        <v>181</v>
      </c>
      <c r="C29" s="3" t="s">
        <v>320</v>
      </c>
      <c r="D29" s="3" t="s">
        <v>321</v>
      </c>
      <c r="E29" s="3" t="s">
        <v>322</v>
      </c>
      <c r="F29" s="3" t="s">
        <v>323</v>
      </c>
      <c r="G29" s="3" t="s">
        <v>324</v>
      </c>
      <c r="H29" s="3" t="s">
        <v>325</v>
      </c>
      <c r="I29" s="3" t="s">
        <v>326</v>
      </c>
      <c r="J29" s="3" t="s">
        <v>327</v>
      </c>
      <c r="K29" s="3" t="s">
        <v>328</v>
      </c>
      <c r="L29" s="3" t="s">
        <v>329</v>
      </c>
    </row>
    <row r="30" customFormat="false" ht="15" hidden="false" customHeight="false" outlineLevel="0" collapsed="false">
      <c r="A30" s="7" t="str">
        <f aca="false">A5</f>
        <v>C-1</v>
      </c>
      <c r="B30" s="30" t="n">
        <f aca="false">C5</f>
        <v>4</v>
      </c>
      <c r="C30" s="25" t="n">
        <v>8</v>
      </c>
      <c r="D30" s="13" t="n">
        <f aca="false">Parametros!$B$26-Parametros!$B$25+2*Parametros!$B$27+Parametros!$B$28</f>
        <v>11.09</v>
      </c>
      <c r="E30" s="25" t="n">
        <v>0</v>
      </c>
      <c r="F30" s="13" t="n">
        <f aca="false">((Parametros!$B$19+Parametros!$B$20-Parametros!$B$21)/2+Parametros!$B$29/2)-Parametros!$B$25+Parametros!$B$27+Parametros!$B$28</f>
        <v>9.84</v>
      </c>
      <c r="G30" s="25" t="n">
        <v>0</v>
      </c>
      <c r="H30" s="13" t="n">
        <f aca="false">Parametros!$B$26-((Parametros!$B$19+Parametros!$B$20-Parametros!$B$21)/2-Parametros!$B$29/2)+Parametros!$B$27</f>
        <v>2.35</v>
      </c>
      <c r="I30" s="26" t="n">
        <f aca="false">(C30*D30+E30*F30)*Parametros!$B$7</f>
        <v>137.69344</v>
      </c>
      <c r="J30" s="26" t="n">
        <f aca="false">G30*H30*Parametros!$B$8</f>
        <v>0</v>
      </c>
      <c r="K30" s="26" t="n">
        <f aca="false">I30*B30</f>
        <v>550.77376</v>
      </c>
      <c r="L30" s="26" t="n">
        <f aca="false">J30*B30</f>
        <v>0</v>
      </c>
    </row>
    <row r="31" customFormat="false" ht="15" hidden="false" customHeight="false" outlineLevel="0" collapsed="false">
      <c r="A31" s="7" t="str">
        <f aca="false">A6</f>
        <v>C-2</v>
      </c>
      <c r="B31" s="30" t="n">
        <f aca="false">C6</f>
        <v>6</v>
      </c>
      <c r="C31" s="25" t="n">
        <v>2</v>
      </c>
      <c r="D31" s="13" t="n">
        <f aca="false">Parametros!$B$26-Parametros!$B$25+2*Parametros!$B$27+Parametros!$B$28</f>
        <v>11.09</v>
      </c>
      <c r="E31" s="25" t="n">
        <v>6</v>
      </c>
      <c r="F31" s="13" t="n">
        <f aca="false">((Parametros!$B$19+Parametros!$B$20-Parametros!$B$21)/2+Parametros!$B$29/2)-Parametros!$B$25+Parametros!$B$27+Parametros!$B$28</f>
        <v>9.84</v>
      </c>
      <c r="G31" s="25" t="n">
        <v>6</v>
      </c>
      <c r="H31" s="13" t="n">
        <f aca="false">Parametros!$B$26-((Parametros!$B$19+Parametros!$B$20-Parametros!$B$21)/2-Parametros!$B$29/2)+Parametros!$B$27</f>
        <v>2.35</v>
      </c>
      <c r="I31" s="26" t="n">
        <f aca="false">(C31*D31+E31*F31)*Parametros!$B$7</f>
        <v>126.05344</v>
      </c>
      <c r="J31" s="26" t="n">
        <f aca="false">G31*H31*Parametros!$B$8</f>
        <v>31.5135</v>
      </c>
      <c r="K31" s="26" t="n">
        <f aca="false">I31*B31</f>
        <v>756.32064</v>
      </c>
      <c r="L31" s="26" t="n">
        <f aca="false">J31*B31</f>
        <v>189.081</v>
      </c>
    </row>
    <row r="32" customFormat="false" ht="15" hidden="false" customHeight="false" outlineLevel="0" collapsed="false">
      <c r="A32" s="7" t="str">
        <f aca="false">A7</f>
        <v>C-3</v>
      </c>
      <c r="B32" s="30" t="n">
        <f aca="false">C7</f>
        <v>2</v>
      </c>
      <c r="C32" s="25" t="n">
        <v>10</v>
      </c>
      <c r="D32" s="13" t="n">
        <f aca="false">Parametros!$B$26-Parametros!$B$25+2*Parametros!$B$27+Parametros!$B$28</f>
        <v>11.09</v>
      </c>
      <c r="E32" s="25" t="n">
        <v>0</v>
      </c>
      <c r="F32" s="13" t="n">
        <f aca="false">((Parametros!$B$19+Parametros!$B$20-Parametros!$B$21)/2+Parametros!$B$29/2)-Parametros!$B$25+Parametros!$B$27+Parametros!$B$28</f>
        <v>9.84</v>
      </c>
      <c r="G32" s="25" t="n">
        <v>0</v>
      </c>
      <c r="H32" s="13" t="n">
        <f aca="false">Parametros!$B$26-((Parametros!$B$19+Parametros!$B$20-Parametros!$B$21)/2-Parametros!$B$29/2)+Parametros!$B$27</f>
        <v>2.35</v>
      </c>
      <c r="I32" s="26" t="n">
        <f aca="false">(C32*D32+E32*F32)*Parametros!$B$7</f>
        <v>172.1168</v>
      </c>
      <c r="J32" s="26" t="n">
        <f aca="false">G32*H32*Parametros!$B$8</f>
        <v>0</v>
      </c>
      <c r="K32" s="26" t="n">
        <f aca="false">I32*B32</f>
        <v>344.2336</v>
      </c>
      <c r="L32" s="26" t="n">
        <f aca="false">J32*B32</f>
        <v>0</v>
      </c>
    </row>
    <row r="33" customFormat="false" ht="15" hidden="false" customHeight="false" outlineLevel="0" collapsed="false">
      <c r="A33" s="7" t="str">
        <f aca="false">A8</f>
        <v>C-4</v>
      </c>
      <c r="B33" s="30" t="n">
        <f aca="false">C8</f>
        <v>3</v>
      </c>
      <c r="C33" s="25" t="n">
        <v>4</v>
      </c>
      <c r="D33" s="13" t="n">
        <f aca="false">Parametros!$B$26-Parametros!$B$25+2*Parametros!$B$27+Parametros!$B$28</f>
        <v>11.09</v>
      </c>
      <c r="E33" s="25" t="n">
        <v>8</v>
      </c>
      <c r="F33" s="13" t="n">
        <f aca="false">((Parametros!$B$19+Parametros!$B$20-Parametros!$B$21)/2+Parametros!$B$29/2)-Parametros!$B$25+Parametros!$B$27+Parametros!$B$28</f>
        <v>9.84</v>
      </c>
      <c r="G33" s="25" t="n">
        <v>8</v>
      </c>
      <c r="H33" s="13" t="n">
        <f aca="false">Parametros!$B$26-((Parametros!$B$19+Parametros!$B$20-Parametros!$B$21)/2-Parametros!$B$29/2)+Parametros!$B$27</f>
        <v>2.35</v>
      </c>
      <c r="I33" s="26" t="n">
        <f aca="false">(C33*D33+E33*F33)*Parametros!$B$7</f>
        <v>191.02016</v>
      </c>
      <c r="J33" s="26" t="n">
        <f aca="false">G33*H33*Parametros!$B$8</f>
        <v>42.018</v>
      </c>
      <c r="K33" s="26" t="n">
        <f aca="false">I33*B33</f>
        <v>573.06048</v>
      </c>
      <c r="L33" s="26" t="n">
        <f aca="false">J33*B33</f>
        <v>126.054</v>
      </c>
    </row>
    <row r="34" customFormat="false" ht="15" hidden="false" customHeight="false" outlineLevel="0" collapsed="false">
      <c r="A34" s="10" t="s">
        <v>65</v>
      </c>
      <c r="K34" s="32" t="n">
        <f aca="false">SUM(K30:K33)</f>
        <v>2224.38848</v>
      </c>
      <c r="L34" s="32" t="n">
        <f aca="false">SUM(L30:L33)</f>
        <v>315.135</v>
      </c>
    </row>
    <row r="35" customFormat="false" ht="15" hidden="false" customHeight="false" outlineLevel="0" collapsed="false">
      <c r="A35" s="18" t="s">
        <v>330</v>
      </c>
    </row>
    <row r="37" customFormat="false" ht="15" hidden="false" customHeight="false" outlineLevel="0" collapsed="false">
      <c r="A37" s="29" t="s">
        <v>331</v>
      </c>
    </row>
    <row r="38" customFormat="false" ht="36" hidden="false" customHeight="true" outlineLevel="0" collapsed="false">
      <c r="A38" s="3" t="s">
        <v>180</v>
      </c>
      <c r="B38" s="3" t="s">
        <v>181</v>
      </c>
      <c r="C38" s="3" t="s">
        <v>332</v>
      </c>
      <c r="D38" s="3" t="s">
        <v>333</v>
      </c>
      <c r="E38" s="3" t="s">
        <v>334</v>
      </c>
      <c r="F38" s="3" t="s">
        <v>314</v>
      </c>
      <c r="G38" s="3" t="s">
        <v>335</v>
      </c>
      <c r="H38" s="3" t="s">
        <v>336</v>
      </c>
      <c r="I38" s="3" t="s">
        <v>337</v>
      </c>
      <c r="J38" s="3" t="s">
        <v>338</v>
      </c>
      <c r="K38" s="3" t="s">
        <v>339</v>
      </c>
      <c r="L38" s="3" t="s">
        <v>340</v>
      </c>
      <c r="M38" s="3" t="s">
        <v>341</v>
      </c>
    </row>
    <row r="39" customFormat="false" ht="15" hidden="false" customHeight="false" outlineLevel="0" collapsed="false">
      <c r="A39" s="7" t="str">
        <f aca="false">A5</f>
        <v>C-1</v>
      </c>
      <c r="B39" s="30" t="n">
        <f aca="false">C5</f>
        <v>4</v>
      </c>
      <c r="C39" s="30" t="n">
        <f aca="false">2*Parametros!$B$30+ROUNDUP(Parametros!$B$28/Parametros!$B$32,0)+ROUNDUP(((Parametros!$B$18-Parametros!$B$21-Parametros!$B$17)-2*Parametros!$B$31-Parametros!$B$28)/Parametros!$B$33,0)</f>
        <v>43</v>
      </c>
      <c r="D39" s="30" t="n">
        <f aca="false">2*Parametros!$B$30+ROUNDUP(((Parametros!$B$19-Parametros!$B$21-Parametros!$B$18)-2*Parametros!$B$31)/Parametros!$B$33,0)</f>
        <v>30</v>
      </c>
      <c r="E39" s="30" t="n">
        <f aca="false">2*Parametros!$B$30+ROUNDUP(((Parametros!$B$19-Parametros!$B$21-Parametros!$B$18)-2*Parametros!$B$31)/Parametros!$B$33,0)</f>
        <v>30</v>
      </c>
      <c r="F39" s="30" t="n">
        <f aca="false">3*ROUNDUP(Parametros!$B$21/Parametros!$B$32,0)</f>
        <v>21</v>
      </c>
      <c r="G39" s="30" t="n">
        <f aca="false">SUM(C39:F39)</f>
        <v>124</v>
      </c>
      <c r="H39" s="13" t="n">
        <f aca="false">2*(D5+E5)-8*Parametros!$B$22+2*Parametros!$B$23</f>
        <v>1.48</v>
      </c>
      <c r="I39" s="13" t="n">
        <f aca="false">D5-2*Parametros!$B$22+2*Parametros!$B$23</f>
        <v>0.42</v>
      </c>
      <c r="J39" s="26" t="n">
        <f aca="false">G39*(H39+I39)*Parametros!$B$6</f>
        <v>234.1864</v>
      </c>
      <c r="K39" s="26" t="n">
        <f aca="false">J39*B39</f>
        <v>936.7456</v>
      </c>
      <c r="L39" s="13" t="n">
        <f aca="false">2*(D5+E5)-8*Parametros!$B$22+2*Parametros!$B$24</f>
        <v>1.43</v>
      </c>
      <c r="M39" s="26" t="n">
        <f aca="false">3*L39*Parametros!$B$5*B39</f>
        <v>9.6096</v>
      </c>
    </row>
    <row r="40" customFormat="false" ht="15" hidden="false" customHeight="false" outlineLevel="0" collapsed="false">
      <c r="A40" s="7" t="str">
        <f aca="false">A6</f>
        <v>C-2</v>
      </c>
      <c r="B40" s="30" t="n">
        <f aca="false">C6</f>
        <v>6</v>
      </c>
      <c r="C40" s="30" t="n">
        <f aca="false">2*Parametros!$B$30+ROUNDUP(Parametros!$B$28/Parametros!$B$32,0)+ROUNDUP(((Parametros!$B$18-Parametros!$B$21-Parametros!$B$17)-2*Parametros!$B$31-Parametros!$B$28)/Parametros!$B$33,0)</f>
        <v>43</v>
      </c>
      <c r="D40" s="30" t="n">
        <f aca="false">2*Parametros!$B$30+ROUNDUP(((Parametros!$B$19-Parametros!$B$21-Parametros!$B$18)-2*Parametros!$B$31)/Parametros!$B$33,0)</f>
        <v>30</v>
      </c>
      <c r="E40" s="30" t="n">
        <f aca="false">2*Parametros!$B$30+ROUNDUP(((Parametros!$B$19-Parametros!$B$21-Parametros!$B$18)-2*Parametros!$B$31)/Parametros!$B$32,0)</f>
        <v>32</v>
      </c>
      <c r="F40" s="30" t="n">
        <f aca="false">3*ROUNDUP(Parametros!$B$21/Parametros!$B$32,0)</f>
        <v>21</v>
      </c>
      <c r="G40" s="30" t="n">
        <f aca="false">SUM(C40:F40)</f>
        <v>126</v>
      </c>
      <c r="H40" s="13" t="n">
        <f aca="false">2*(D6+E6)-8*Parametros!$B$22+2*Parametros!$B$23</f>
        <v>1.48</v>
      </c>
      <c r="I40" s="13" t="n">
        <f aca="false">D6-2*Parametros!$B$22+2*Parametros!$B$23</f>
        <v>0.42</v>
      </c>
      <c r="J40" s="26" t="n">
        <f aca="false">G40*(H40+I40)*Parametros!$B$6</f>
        <v>237.9636</v>
      </c>
      <c r="K40" s="26" t="n">
        <f aca="false">J40*B40</f>
        <v>1427.7816</v>
      </c>
      <c r="L40" s="13" t="n">
        <f aca="false">2*(D6+E6)-8*Parametros!$B$22+2*Parametros!$B$24</f>
        <v>1.43</v>
      </c>
      <c r="M40" s="26" t="n">
        <f aca="false">3*L40*Parametros!$B$5*B40</f>
        <v>14.4144</v>
      </c>
    </row>
    <row r="41" customFormat="false" ht="15" hidden="false" customHeight="false" outlineLevel="0" collapsed="false">
      <c r="A41" s="7" t="str">
        <f aca="false">A7</f>
        <v>C-3</v>
      </c>
      <c r="B41" s="30" t="n">
        <f aca="false">C7</f>
        <v>2</v>
      </c>
      <c r="C41" s="30" t="n">
        <f aca="false">2*Parametros!$B$30+ROUNDUP(Parametros!$B$28/Parametros!$B$32,0)+ROUNDUP(((Parametros!$B$18-Parametros!$B$21-Parametros!$B$17)-2*Parametros!$B$31-Parametros!$B$28)/Parametros!$B$33,0)</f>
        <v>43</v>
      </c>
      <c r="D41" s="30" t="n">
        <f aca="false">2*Parametros!$B$30+ROUNDUP(((Parametros!$B$19-Parametros!$B$21-Parametros!$B$18)-2*Parametros!$B$31)/Parametros!$B$33,0)</f>
        <v>30</v>
      </c>
      <c r="E41" s="30" t="n">
        <f aca="false">2*Parametros!$B$30+ROUNDUP(((Parametros!$B$19-Parametros!$B$21-Parametros!$B$18)-2*Parametros!$B$31)/Parametros!$B$33,0)</f>
        <v>30</v>
      </c>
      <c r="F41" s="30" t="n">
        <f aca="false">3*ROUNDUP(Parametros!$B$21/Parametros!$B$32,0)</f>
        <v>21</v>
      </c>
      <c r="G41" s="30" t="n">
        <f aca="false">SUM(C41:F41)</f>
        <v>124</v>
      </c>
      <c r="H41" s="13" t="n">
        <f aca="false">2*(D7+E7)-8*Parametros!$B$22+2*Parametros!$B$23</f>
        <v>1.68</v>
      </c>
      <c r="I41" s="13" t="n">
        <f aca="false">2*(0.175+E7-2*Parametros!$B$22)+2*Parametros!$B$23</f>
        <v>0.99</v>
      </c>
      <c r="J41" s="26" t="n">
        <f aca="false">G41*(H41+I41)*Parametros!$B$6</f>
        <v>329.09352</v>
      </c>
      <c r="K41" s="26" t="n">
        <f aca="false">J41*B41</f>
        <v>658.18704</v>
      </c>
      <c r="L41" s="13" t="n">
        <f aca="false">2*(D7+E7)-8*Parametros!$B$22+2*Parametros!$B$24</f>
        <v>1.63</v>
      </c>
      <c r="M41" s="26" t="n">
        <f aca="false">3*L41*Parametros!$B$5*B41</f>
        <v>5.4768</v>
      </c>
    </row>
    <row r="42" customFormat="false" ht="15" hidden="false" customHeight="false" outlineLevel="0" collapsed="false">
      <c r="A42" s="7" t="str">
        <f aca="false">A8</f>
        <v>C-4</v>
      </c>
      <c r="B42" s="30" t="n">
        <f aca="false">C8</f>
        <v>3</v>
      </c>
      <c r="C42" s="30" t="n">
        <f aca="false">2*Parametros!$B$30+ROUNDUP(Parametros!$B$28/Parametros!$B$32,0)+ROUNDUP(((Parametros!$B$18-Parametros!$B$21-Parametros!$B$17)-2*Parametros!$B$31-Parametros!$B$28)/Parametros!$B$33,0)</f>
        <v>43</v>
      </c>
      <c r="D42" s="30" t="n">
        <f aca="false">2*Parametros!$B$30+ROUNDUP(((Parametros!$B$19-Parametros!$B$21-Parametros!$B$18)-2*Parametros!$B$31)/Parametros!$B$33,0)</f>
        <v>30</v>
      </c>
      <c r="E42" s="30" t="n">
        <f aca="false">2*Parametros!$B$30+ROUNDUP(((Parametros!$B$19-Parametros!$B$21-Parametros!$B$18)-2*Parametros!$B$31)/Parametros!$B$32,0)</f>
        <v>32</v>
      </c>
      <c r="F42" s="30" t="n">
        <f aca="false">3*ROUNDUP(Parametros!$B$21/Parametros!$B$32,0)</f>
        <v>21</v>
      </c>
      <c r="G42" s="30" t="n">
        <f aca="false">SUM(C42:F42)</f>
        <v>126</v>
      </c>
      <c r="H42" s="13" t="n">
        <f aca="false">2*(D8+E8)-8*Parametros!$B$22+2*Parametros!$B$23</f>
        <v>1.78</v>
      </c>
      <c r="I42" s="13" t="n">
        <f aca="false">2*(0.26+E8-2*Parametros!$B$22)+2*Parametros!$B$23</f>
        <v>1.26</v>
      </c>
      <c r="J42" s="26" t="n">
        <f aca="false">G42*(H42+I42)*Parametros!$B$6</f>
        <v>380.74176</v>
      </c>
      <c r="K42" s="26" t="n">
        <f aca="false">J42*B42</f>
        <v>1142.22528</v>
      </c>
      <c r="L42" s="13" t="n">
        <f aca="false">2*(D8+E8)-8*Parametros!$B$22+2*Parametros!$B$24</f>
        <v>1.73</v>
      </c>
      <c r="M42" s="26" t="n">
        <f aca="false">3*L42*Parametros!$B$5*B42</f>
        <v>8.7192</v>
      </c>
    </row>
    <row r="43" customFormat="false" ht="15" hidden="false" customHeight="false" outlineLevel="0" collapsed="false">
      <c r="A43" s="10" t="s">
        <v>65</v>
      </c>
      <c r="K43" s="32" t="n">
        <f aca="false">SUM(K39:K42)</f>
        <v>4164.93952</v>
      </c>
      <c r="M43" s="32" t="n">
        <f aca="false">SUM(M39:M42)</f>
        <v>38.22</v>
      </c>
    </row>
    <row r="44" customFormat="false" ht="15" hidden="false" customHeight="false" outlineLevel="0" collapsed="false">
      <c r="A44" s="18" t="s">
        <v>342</v>
      </c>
    </row>
    <row r="45" customFormat="false" ht="15" hidden="false" customHeight="false" outlineLevel="0" collapsed="false">
      <c r="A45" s="18" t="s">
        <v>343</v>
      </c>
    </row>
    <row r="47" customFormat="false" ht="15" hidden="false" customHeight="false" outlineLevel="0" collapsed="false">
      <c r="A47" s="12" t="s">
        <v>344</v>
      </c>
    </row>
    <row r="48" customFormat="false" ht="15" hidden="false" customHeight="false" outlineLevel="0" collapsed="false">
      <c r="A48" s="7" t="s">
        <v>229</v>
      </c>
      <c r="B48" s="26" t="n">
        <f aca="false">M43</f>
        <v>38.22</v>
      </c>
    </row>
    <row r="49" customFormat="false" ht="15" hidden="false" customHeight="false" outlineLevel="0" collapsed="false">
      <c r="A49" s="7" t="s">
        <v>345</v>
      </c>
      <c r="B49" s="26" t="n">
        <f aca="false">K43</f>
        <v>4164.93952</v>
      </c>
    </row>
    <row r="50" customFormat="false" ht="15" hidden="false" customHeight="false" outlineLevel="0" collapsed="false">
      <c r="A50" s="7" t="s">
        <v>228</v>
      </c>
      <c r="B50" s="26" t="n">
        <f aca="false">K34</f>
        <v>2224.38848</v>
      </c>
    </row>
    <row r="51" customFormat="false" ht="15" hidden="false" customHeight="false" outlineLevel="0" collapsed="false">
      <c r="A51" s="7" t="s">
        <v>227</v>
      </c>
      <c r="B51" s="26" t="n">
        <f aca="false">L34</f>
        <v>315.135</v>
      </c>
    </row>
    <row r="52" customFormat="false" ht="15" hidden="false" customHeight="false" outlineLevel="0" collapsed="false">
      <c r="A52" s="33" t="s">
        <v>346</v>
      </c>
      <c r="B52" s="34" t="n">
        <f aca="false">SUM(B48:B51)</f>
        <v>6742.683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348</v>
      </c>
    </row>
    <row r="4" customFormat="false" ht="36" hidden="false" customHeight="true" outlineLevel="0" collapsed="false">
      <c r="A4" s="3" t="s">
        <v>349</v>
      </c>
      <c r="B4" s="3" t="s">
        <v>12</v>
      </c>
      <c r="C4" s="3" t="s">
        <v>350</v>
      </c>
    </row>
    <row r="5" customFormat="false" ht="15" hidden="false" customHeight="false" outlineLevel="0" collapsed="false">
      <c r="A5" s="7" t="s">
        <v>351</v>
      </c>
      <c r="B5" s="13" t="n">
        <f aca="false">Zapatas!S10</f>
        <v>74.856</v>
      </c>
      <c r="C5" s="7" t="s">
        <v>352</v>
      </c>
    </row>
    <row r="6" customFormat="false" ht="15" hidden="false" customHeight="false" outlineLevel="0" collapsed="false">
      <c r="A6" s="7" t="s">
        <v>353</v>
      </c>
      <c r="B6" s="13" t="n">
        <f aca="false">SUMIF(Vigas_Cimentacion!B5:B26,"VE*",Vigas_Cimentacion!N5:N26)</f>
        <v>11.772</v>
      </c>
      <c r="C6" s="7" t="s">
        <v>354</v>
      </c>
    </row>
    <row r="7" customFormat="false" ht="15" hidden="false" customHeight="false" outlineLevel="0" collapsed="false">
      <c r="A7" s="7" t="s">
        <v>355</v>
      </c>
      <c r="B7" s="13" t="n">
        <f aca="false">SUMIF(Vigas_Cimentacion!B5:B26,"VC",Vigas_Cimentacion!N5:N26)</f>
        <v>2.458125</v>
      </c>
      <c r="C7" s="7" t="s">
        <v>356</v>
      </c>
    </row>
    <row r="8" customFormat="false" ht="15" hidden="false" customHeight="false" outlineLevel="0" collapsed="false">
      <c r="A8" s="10" t="s">
        <v>357</v>
      </c>
      <c r="B8" s="14" t="n">
        <f aca="false">SUM(B5:B7)</f>
        <v>89.086125</v>
      </c>
      <c r="C8" s="7"/>
    </row>
    <row r="9" customFormat="false" ht="15" hidden="false" customHeight="false" outlineLevel="0" collapsed="false">
      <c r="A9" s="7" t="s">
        <v>358</v>
      </c>
      <c r="B9" s="13" t="n">
        <f aca="false">-Zapatas!J10*Parametros!$B$12</f>
        <v>-4.6785</v>
      </c>
      <c r="C9" s="7" t="s">
        <v>359</v>
      </c>
    </row>
    <row r="10" customFormat="false" ht="15" hidden="false" customHeight="false" outlineLevel="0" collapsed="false">
      <c r="A10" s="7" t="s">
        <v>360</v>
      </c>
      <c r="B10" s="13" t="n">
        <f aca="false">-Zapatas!I10</f>
        <v>-23.3925</v>
      </c>
      <c r="C10" s="7"/>
    </row>
    <row r="11" customFormat="false" ht="15" hidden="false" customHeight="false" outlineLevel="0" collapsed="false">
      <c r="A11" s="7" t="s">
        <v>361</v>
      </c>
      <c r="B11" s="13" t="n">
        <f aca="false">-Vigas_Cimentacion!J31</f>
        <v>-7.66245</v>
      </c>
      <c r="C11" s="7" t="s">
        <v>362</v>
      </c>
    </row>
    <row r="12" customFormat="false" ht="15" hidden="false" customHeight="false" outlineLevel="0" collapsed="false">
      <c r="A12" s="7" t="s">
        <v>363</v>
      </c>
      <c r="B12" s="13" t="n">
        <f aca="false">-Vigas_Cimentacion!L31*Parametros!$B$13</f>
        <v>-0.73575</v>
      </c>
      <c r="C12" s="7"/>
    </row>
    <row r="13" customFormat="false" ht="15" hidden="false" customHeight="false" outlineLevel="0" collapsed="false">
      <c r="A13" s="7" t="s">
        <v>364</v>
      </c>
      <c r="B13" s="13" t="n">
        <f aca="false">-Columnas!G16</f>
        <v>-2.49</v>
      </c>
      <c r="C13" s="7"/>
    </row>
    <row r="14" customFormat="false" ht="15" hidden="false" customHeight="false" outlineLevel="0" collapsed="false">
      <c r="A14" s="10" t="s">
        <v>365</v>
      </c>
      <c r="B14" s="14" t="n">
        <f aca="false">SUM(B8:B13)</f>
        <v>50.126925</v>
      </c>
      <c r="C14" s="7" t="s">
        <v>366</v>
      </c>
    </row>
    <row r="15" customFormat="false" ht="15" hidden="false" customHeight="false" outlineLevel="0" collapsed="false">
      <c r="A15" s="7" t="s">
        <v>367</v>
      </c>
      <c r="B15" s="13" t="n">
        <f aca="false">B8-B14</f>
        <v>38.9592</v>
      </c>
      <c r="C15" s="7"/>
    </row>
    <row r="16" customFormat="false" ht="15" hidden="false" customHeight="false" outlineLevel="0" collapsed="false">
      <c r="A16" s="7" t="s">
        <v>368</v>
      </c>
      <c r="B16" s="20" t="n">
        <f aca="false">Parametros!$B$9</f>
        <v>0.25</v>
      </c>
      <c r="C16" s="7" t="s">
        <v>122</v>
      </c>
    </row>
    <row r="17" customFormat="false" ht="15" hidden="false" customHeight="false" outlineLevel="0" collapsed="false">
      <c r="A17" s="7" t="s">
        <v>369</v>
      </c>
      <c r="B17" s="13" t="n">
        <f aca="false">B15*(1+B16)</f>
        <v>48.699</v>
      </c>
      <c r="C17" s="7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4" customFormat="false" ht="36" hidden="false" customHeight="true" outlineLevel="0" collapsed="false">
      <c r="A4" s="3" t="s">
        <v>373</v>
      </c>
      <c r="B4" s="3" t="s">
        <v>374</v>
      </c>
      <c r="C4" s="3" t="s">
        <v>4</v>
      </c>
      <c r="D4" s="3" t="s">
        <v>375</v>
      </c>
      <c r="E4" s="3" t="s">
        <v>376</v>
      </c>
    </row>
    <row r="5" customFormat="false" ht="15" hidden="false" customHeight="false" outlineLevel="0" collapsed="false">
      <c r="A5" s="7" t="s">
        <v>377</v>
      </c>
      <c r="B5" s="7" t="s">
        <v>378</v>
      </c>
      <c r="C5" s="7" t="s">
        <v>379</v>
      </c>
      <c r="D5" s="35" t="n">
        <v>89.3</v>
      </c>
      <c r="E5" s="7" t="s">
        <v>380</v>
      </c>
    </row>
    <row r="6" customFormat="false" ht="15" hidden="false" customHeight="false" outlineLevel="0" collapsed="false">
      <c r="A6" s="7" t="s">
        <v>381</v>
      </c>
      <c r="B6" s="7" t="s">
        <v>382</v>
      </c>
      <c r="C6" s="7" t="s">
        <v>379</v>
      </c>
      <c r="D6" s="35" t="n">
        <v>69.75</v>
      </c>
      <c r="E6" s="7" t="s">
        <v>383</v>
      </c>
    </row>
    <row r="7" customFormat="false" ht="15" hidden="false" customHeight="false" outlineLevel="0" collapsed="false">
      <c r="A7" s="7" t="s">
        <v>384</v>
      </c>
      <c r="B7" s="7" t="s">
        <v>385</v>
      </c>
      <c r="C7" s="7" t="s">
        <v>379</v>
      </c>
      <c r="D7" s="35" t="n">
        <v>62.8</v>
      </c>
      <c r="E7" s="7" t="s">
        <v>383</v>
      </c>
    </row>
    <row r="8" customFormat="false" ht="15" hidden="false" customHeight="false" outlineLevel="0" collapsed="false">
      <c r="A8" s="7" t="s">
        <v>386</v>
      </c>
      <c r="B8" s="7" t="s">
        <v>387</v>
      </c>
      <c r="C8" s="7" t="s">
        <v>388</v>
      </c>
      <c r="D8" s="36" t="n">
        <v>1.2</v>
      </c>
      <c r="E8" s="7" t="s">
        <v>389</v>
      </c>
    </row>
    <row r="9" customFormat="false" ht="15" hidden="false" customHeight="false" outlineLevel="0" collapsed="false">
      <c r="A9" s="7" t="s">
        <v>390</v>
      </c>
      <c r="B9" s="7" t="s">
        <v>391</v>
      </c>
      <c r="C9" s="7" t="s">
        <v>379</v>
      </c>
      <c r="D9" s="35" t="n">
        <v>8.6</v>
      </c>
      <c r="E9" s="7" t="s">
        <v>392</v>
      </c>
    </row>
    <row r="10" customFormat="false" ht="15" hidden="false" customHeight="false" outlineLevel="0" collapsed="false">
      <c r="A10" s="7" t="s">
        <v>393</v>
      </c>
      <c r="B10" s="7" t="s">
        <v>394</v>
      </c>
      <c r="C10" s="7" t="s">
        <v>395</v>
      </c>
      <c r="D10" s="8" t="n">
        <f aca="false">(Insumos!$D$5*(1+Insumos!$D$8)+Insumos!$D$5*0.32+Insumos!$D$9)/8</f>
        <v>29.2045</v>
      </c>
      <c r="E10" s="7" t="s">
        <v>396</v>
      </c>
    </row>
    <row r="11" customFormat="false" ht="15" hidden="false" customHeight="false" outlineLevel="0" collapsed="false">
      <c r="A11" s="7" t="s">
        <v>397</v>
      </c>
      <c r="B11" s="7" t="s">
        <v>398</v>
      </c>
      <c r="C11" s="7" t="s">
        <v>395</v>
      </c>
      <c r="D11" s="8" t="n">
        <f aca="false">(Insumos!$D$6*(1+Insumos!$D$8)+Insumos!$D$6*0.3+Insumos!$D$9)/8</f>
        <v>22.871875</v>
      </c>
      <c r="E11" s="7" t="s">
        <v>399</v>
      </c>
    </row>
    <row r="12" customFormat="false" ht="15" hidden="false" customHeight="false" outlineLevel="0" collapsed="false">
      <c r="A12" s="7" t="s">
        <v>400</v>
      </c>
      <c r="B12" s="7" t="s">
        <v>401</v>
      </c>
      <c r="C12" s="7" t="s">
        <v>395</v>
      </c>
      <c r="D12" s="8" t="n">
        <f aca="false">(Insumos!$D$7*(1+Insumos!$D$8)+Insumos!$D$7*0.3+Insumos!$D$9)/8</f>
        <v>20.7</v>
      </c>
      <c r="E12" s="7" t="s">
        <v>399</v>
      </c>
    </row>
    <row r="13" customFormat="false" ht="15" hidden="false" customHeight="false" outlineLevel="0" collapsed="false">
      <c r="A13" s="7" t="s">
        <v>402</v>
      </c>
      <c r="B13" s="7" t="s">
        <v>403</v>
      </c>
      <c r="C13" s="7" t="s">
        <v>12</v>
      </c>
      <c r="D13" s="35" t="n">
        <v>380</v>
      </c>
      <c r="E13" s="7" t="s">
        <v>404</v>
      </c>
    </row>
    <row r="14" customFormat="false" ht="15" hidden="false" customHeight="false" outlineLevel="0" collapsed="false">
      <c r="A14" s="7" t="s">
        <v>405</v>
      </c>
      <c r="B14" s="7" t="s">
        <v>406</v>
      </c>
      <c r="C14" s="7" t="s">
        <v>12</v>
      </c>
      <c r="D14" s="35" t="n">
        <v>40</v>
      </c>
      <c r="E14" s="7" t="s">
        <v>407</v>
      </c>
    </row>
    <row r="15" customFormat="false" ht="15" hidden="false" customHeight="false" outlineLevel="0" collapsed="false">
      <c r="A15" s="7" t="s">
        <v>408</v>
      </c>
      <c r="B15" s="7" t="s">
        <v>409</v>
      </c>
      <c r="C15" s="7" t="s">
        <v>12</v>
      </c>
      <c r="D15" s="35" t="n">
        <v>20</v>
      </c>
      <c r="E15" s="7" t="s">
        <v>410</v>
      </c>
    </row>
    <row r="16" customFormat="false" ht="15" hidden="false" customHeight="false" outlineLevel="0" collapsed="false">
      <c r="A16" s="7" t="s">
        <v>411</v>
      </c>
      <c r="B16" s="7" t="s">
        <v>412</v>
      </c>
      <c r="C16" s="7" t="s">
        <v>388</v>
      </c>
      <c r="D16" s="36" t="n">
        <v>0.03</v>
      </c>
      <c r="E16" s="7" t="s">
        <v>161</v>
      </c>
    </row>
    <row r="17" customFormat="false" ht="15" hidden="false" customHeight="false" outlineLevel="0" collapsed="false">
      <c r="A17" s="7" t="s">
        <v>413</v>
      </c>
      <c r="B17" s="7" t="s">
        <v>414</v>
      </c>
      <c r="C17" s="7" t="s">
        <v>34</v>
      </c>
      <c r="D17" s="35" t="n">
        <v>3.6</v>
      </c>
      <c r="E17" s="7" t="s">
        <v>415</v>
      </c>
    </row>
    <row r="18" customFormat="false" ht="15" hidden="false" customHeight="false" outlineLevel="0" collapsed="false">
      <c r="A18" s="7" t="s">
        <v>416</v>
      </c>
      <c r="B18" s="7" t="s">
        <v>417</v>
      </c>
      <c r="C18" s="7" t="s">
        <v>388</v>
      </c>
      <c r="D18" s="36" t="n">
        <v>0.05</v>
      </c>
      <c r="E18" s="7" t="s">
        <v>161</v>
      </c>
    </row>
    <row r="19" customFormat="false" ht="15" hidden="false" customHeight="false" outlineLevel="0" collapsed="false">
      <c r="A19" s="7" t="s">
        <v>418</v>
      </c>
      <c r="B19" s="7" t="s">
        <v>419</v>
      </c>
      <c r="C19" s="7" t="s">
        <v>34</v>
      </c>
      <c r="D19" s="35" t="n">
        <v>6.5</v>
      </c>
      <c r="E19" s="7" t="s">
        <v>420</v>
      </c>
    </row>
    <row r="20" customFormat="false" ht="15" hidden="false" customHeight="false" outlineLevel="0" collapsed="false">
      <c r="A20" s="7" t="s">
        <v>421</v>
      </c>
      <c r="B20" s="7" t="s">
        <v>422</v>
      </c>
      <c r="C20" s="7" t="s">
        <v>34</v>
      </c>
      <c r="D20" s="35" t="n">
        <v>6</v>
      </c>
      <c r="E20" s="7" t="s">
        <v>420</v>
      </c>
    </row>
    <row r="21" customFormat="false" ht="15" hidden="false" customHeight="false" outlineLevel="0" collapsed="false">
      <c r="A21" s="7" t="s">
        <v>423</v>
      </c>
      <c r="B21" s="7" t="s">
        <v>424</v>
      </c>
      <c r="C21" s="7" t="s">
        <v>34</v>
      </c>
      <c r="D21" s="35" t="n">
        <v>6.5</v>
      </c>
      <c r="E21" s="7" t="s">
        <v>420</v>
      </c>
    </row>
    <row r="22" customFormat="false" ht="15" hidden="false" customHeight="false" outlineLevel="0" collapsed="false">
      <c r="A22" s="7" t="s">
        <v>425</v>
      </c>
      <c r="B22" s="7" t="s">
        <v>426</v>
      </c>
      <c r="C22" s="7" t="s">
        <v>427</v>
      </c>
      <c r="D22" s="35" t="n">
        <v>6.5</v>
      </c>
      <c r="E22" s="7" t="s">
        <v>420</v>
      </c>
    </row>
    <row r="23" customFormat="false" ht="15" hidden="false" customHeight="false" outlineLevel="0" collapsed="false">
      <c r="A23" s="7" t="s">
        <v>428</v>
      </c>
      <c r="B23" s="7" t="s">
        <v>429</v>
      </c>
      <c r="C23" s="7" t="s">
        <v>430</v>
      </c>
      <c r="D23" s="35" t="n">
        <v>31</v>
      </c>
      <c r="E23" s="7" t="s">
        <v>420</v>
      </c>
    </row>
    <row r="24" customFormat="false" ht="15" hidden="false" customHeight="false" outlineLevel="0" collapsed="false">
      <c r="A24" s="7" t="s">
        <v>431</v>
      </c>
      <c r="B24" s="7" t="s">
        <v>432</v>
      </c>
      <c r="C24" s="7" t="s">
        <v>12</v>
      </c>
      <c r="D24" s="35" t="n">
        <v>80</v>
      </c>
      <c r="E24" s="7" t="s">
        <v>433</v>
      </c>
    </row>
    <row r="25" customFormat="false" ht="15" hidden="false" customHeight="false" outlineLevel="0" collapsed="false">
      <c r="A25" s="7" t="s">
        <v>434</v>
      </c>
      <c r="B25" s="7" t="s">
        <v>435</v>
      </c>
      <c r="C25" s="7" t="s">
        <v>12</v>
      </c>
      <c r="D25" s="35" t="n">
        <v>6</v>
      </c>
      <c r="E25" s="7" t="s">
        <v>161</v>
      </c>
    </row>
    <row r="26" customFormat="false" ht="15" hidden="false" customHeight="false" outlineLevel="0" collapsed="false">
      <c r="A26" s="7" t="s">
        <v>436</v>
      </c>
      <c r="B26" s="7" t="s">
        <v>437</v>
      </c>
      <c r="C26" s="7" t="s">
        <v>23</v>
      </c>
      <c r="D26" s="35" t="n">
        <v>30</v>
      </c>
      <c r="E26" s="7" t="s">
        <v>420</v>
      </c>
    </row>
    <row r="27" customFormat="false" ht="15" hidden="false" customHeight="false" outlineLevel="0" collapsed="false">
      <c r="A27" s="7" t="s">
        <v>438</v>
      </c>
      <c r="B27" s="7" t="s">
        <v>439</v>
      </c>
      <c r="C27" s="7" t="s">
        <v>113</v>
      </c>
      <c r="D27" s="35" t="n">
        <v>170</v>
      </c>
      <c r="E27" s="7" t="s">
        <v>440</v>
      </c>
    </row>
    <row r="28" customFormat="false" ht="15" hidden="false" customHeight="false" outlineLevel="0" collapsed="false">
      <c r="A28" s="7" t="s">
        <v>441</v>
      </c>
      <c r="B28" s="7" t="s">
        <v>442</v>
      </c>
      <c r="C28" s="7" t="s">
        <v>443</v>
      </c>
      <c r="D28" s="35" t="n">
        <v>12</v>
      </c>
      <c r="E28" s="7" t="s">
        <v>444</v>
      </c>
    </row>
    <row r="29" customFormat="false" ht="15" hidden="false" customHeight="false" outlineLevel="0" collapsed="false">
      <c r="A29" s="7" t="s">
        <v>445</v>
      </c>
      <c r="B29" s="7" t="s">
        <v>77</v>
      </c>
      <c r="C29" s="7" t="s">
        <v>78</v>
      </c>
      <c r="D29" s="35" t="n">
        <v>600</v>
      </c>
      <c r="E29" s="7" t="s">
        <v>161</v>
      </c>
    </row>
    <row r="30" customFormat="false" ht="15" hidden="false" customHeight="false" outlineLevel="0" collapsed="false">
      <c r="A30" s="7" t="s">
        <v>446</v>
      </c>
      <c r="B30" s="7" t="s">
        <v>447</v>
      </c>
      <c r="C30" s="7" t="s">
        <v>84</v>
      </c>
      <c r="D30" s="35" t="n">
        <v>500</v>
      </c>
      <c r="E30" s="7" t="s">
        <v>448</v>
      </c>
    </row>
    <row r="31" customFormat="false" ht="15" hidden="false" customHeight="false" outlineLevel="0" collapsed="false">
      <c r="A31" s="7" t="s">
        <v>449</v>
      </c>
      <c r="B31" s="7" t="s">
        <v>450</v>
      </c>
      <c r="C31" s="7" t="s">
        <v>12</v>
      </c>
      <c r="D31" s="35" t="n">
        <v>15</v>
      </c>
      <c r="E31" s="7"/>
    </row>
    <row r="32" customFormat="false" ht="15" hidden="false" customHeight="false" outlineLevel="0" collapsed="false">
      <c r="A32" s="7" t="s">
        <v>451</v>
      </c>
      <c r="B32" s="7" t="s">
        <v>452</v>
      </c>
      <c r="C32" s="7" t="s">
        <v>379</v>
      </c>
      <c r="D32" s="35" t="n">
        <v>150</v>
      </c>
      <c r="E32" s="7" t="s">
        <v>161</v>
      </c>
    </row>
    <row r="33" customFormat="false" ht="15" hidden="false" customHeight="false" outlineLevel="0" collapsed="false">
      <c r="A33" s="7" t="s">
        <v>453</v>
      </c>
      <c r="B33" s="7" t="s">
        <v>454</v>
      </c>
      <c r="C33" s="7" t="s">
        <v>379</v>
      </c>
      <c r="D33" s="35" t="n">
        <v>100</v>
      </c>
      <c r="E33" s="7" t="s">
        <v>161</v>
      </c>
    </row>
    <row r="34" customFormat="false" ht="15" hidden="false" customHeight="false" outlineLevel="0" collapsed="false">
      <c r="A34" s="7" t="s">
        <v>455</v>
      </c>
      <c r="B34" s="7" t="s">
        <v>456</v>
      </c>
      <c r="C34" s="7" t="s">
        <v>379</v>
      </c>
      <c r="D34" s="35" t="n">
        <v>80</v>
      </c>
      <c r="E34" s="7" t="s">
        <v>161</v>
      </c>
    </row>
    <row r="35" customFormat="false" ht="15" hidden="false" customHeight="false" outlineLevel="0" collapsed="false">
      <c r="A35" s="7" t="s">
        <v>457</v>
      </c>
      <c r="B35" s="7" t="s">
        <v>458</v>
      </c>
      <c r="C35" s="7" t="s">
        <v>134</v>
      </c>
      <c r="D35" s="35" t="n">
        <v>0.6</v>
      </c>
      <c r="E35" s="7" t="s">
        <v>459</v>
      </c>
    </row>
    <row r="36" customFormat="false" ht="15" hidden="false" customHeight="false" outlineLevel="0" collapsed="false">
      <c r="A36" s="7" t="s">
        <v>460</v>
      </c>
      <c r="B36" s="7" t="s">
        <v>461</v>
      </c>
      <c r="C36" s="7" t="s">
        <v>388</v>
      </c>
      <c r="D36" s="36" t="n">
        <v>0</v>
      </c>
      <c r="E36" s="7" t="s">
        <v>462</v>
      </c>
    </row>
    <row r="37" customFormat="false" ht="15" hidden="false" customHeight="false" outlineLevel="0" collapsed="false">
      <c r="A37" s="7" t="s">
        <v>463</v>
      </c>
      <c r="B37" s="7" t="s">
        <v>464</v>
      </c>
      <c r="C37" s="7" t="s">
        <v>388</v>
      </c>
      <c r="D37" s="36" t="n">
        <v>0</v>
      </c>
      <c r="E37" s="7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466</v>
      </c>
    </row>
    <row r="2" customFormat="false" ht="15" hidden="false" customHeight="false" outlineLevel="0" collapsed="false">
      <c r="A2" s="2" t="s">
        <v>467</v>
      </c>
    </row>
    <row r="4" customFormat="false" ht="15" hidden="false" customHeight="false" outlineLevel="0" collapsed="false">
      <c r="A4" s="37" t="s">
        <v>468</v>
      </c>
      <c r="B4" s="38" t="s">
        <v>12</v>
      </c>
      <c r="C4" s="39"/>
      <c r="D4" s="39"/>
      <c r="E4" s="39"/>
      <c r="F4" s="39"/>
    </row>
    <row r="5" customFormat="false" ht="15" hidden="false" customHeight="false" outlineLevel="0" collapsed="false">
      <c r="A5" s="40" t="s">
        <v>469</v>
      </c>
      <c r="B5" s="24" t="n">
        <v>40</v>
      </c>
    </row>
    <row r="6" customFormat="false" ht="36" hidden="false" customHeight="true" outlineLevel="0" collapsed="false">
      <c r="A6" s="3" t="s">
        <v>470</v>
      </c>
      <c r="B6" s="3" t="s">
        <v>4</v>
      </c>
      <c r="C6" s="3" t="s">
        <v>471</v>
      </c>
      <c r="D6" s="3" t="s">
        <v>472</v>
      </c>
      <c r="E6" s="3" t="s">
        <v>375</v>
      </c>
      <c r="F6" s="3" t="s">
        <v>7</v>
      </c>
    </row>
    <row r="7" customFormat="false" ht="15" hidden="false" customHeight="false" outlineLevel="0" collapsed="false">
      <c r="A7" s="7" t="s">
        <v>473</v>
      </c>
      <c r="B7" s="7" t="s">
        <v>395</v>
      </c>
      <c r="C7" s="24" t="n">
        <v>1</v>
      </c>
      <c r="D7" s="41" t="n">
        <f aca="false">C7*8/$B$5</f>
        <v>0.2</v>
      </c>
      <c r="E7" s="13" t="n">
        <f aca="false">Insumos!$D$12</f>
        <v>20.7</v>
      </c>
      <c r="F7" s="13" t="n">
        <f aca="false">D7*E7</f>
        <v>4.14</v>
      </c>
    </row>
    <row r="8" customFormat="false" ht="15" hidden="false" customHeight="false" outlineLevel="0" collapsed="false">
      <c r="A8" s="7" t="s">
        <v>474</v>
      </c>
      <c r="B8" s="7" t="s">
        <v>113</v>
      </c>
      <c r="C8" s="7"/>
      <c r="D8" s="41" t="n">
        <f aca="false">1/Insumos!$D$28</f>
        <v>0.0833333333333333</v>
      </c>
      <c r="E8" s="13" t="n">
        <f aca="false">Insumos!$D$27</f>
        <v>170</v>
      </c>
      <c r="F8" s="13" t="n">
        <f aca="false">D8*E8</f>
        <v>14.1666666666667</v>
      </c>
    </row>
    <row r="9" customFormat="false" ht="15" hidden="false" customHeight="false" outlineLevel="0" collapsed="false">
      <c r="A9" s="7" t="s">
        <v>475</v>
      </c>
      <c r="B9" s="7" t="s">
        <v>476</v>
      </c>
      <c r="C9" s="7"/>
      <c r="D9" s="36" t="n">
        <v>0.03</v>
      </c>
      <c r="E9" s="13" t="n">
        <f aca="false">SUM(F7)</f>
        <v>4.14</v>
      </c>
      <c r="F9" s="13" t="n">
        <f aca="false">D9*E9</f>
        <v>0.1242</v>
      </c>
    </row>
    <row r="10" customFormat="false" ht="15" hidden="false" customHeight="false" outlineLevel="0" collapsed="false">
      <c r="A10" s="10" t="s">
        <v>477</v>
      </c>
      <c r="B10" s="16"/>
      <c r="C10" s="16"/>
      <c r="D10" s="16"/>
      <c r="E10" s="16"/>
      <c r="F10" s="11" t="n">
        <f aca="false">SUM(F7:F9)</f>
        <v>18.4308666666667</v>
      </c>
    </row>
    <row r="12" customFormat="false" ht="15" hidden="false" customHeight="false" outlineLevel="0" collapsed="false">
      <c r="A12" s="37" t="s">
        <v>478</v>
      </c>
      <c r="B12" s="38" t="s">
        <v>12</v>
      </c>
      <c r="C12" s="39"/>
      <c r="D12" s="39"/>
      <c r="E12" s="39"/>
      <c r="F12" s="39"/>
    </row>
    <row r="13" customFormat="false" ht="15" hidden="false" customHeight="false" outlineLevel="0" collapsed="false">
      <c r="A13" s="40" t="s">
        <v>469</v>
      </c>
      <c r="B13" s="24" t="n">
        <v>12</v>
      </c>
    </row>
    <row r="14" customFormat="false" ht="36" hidden="false" customHeight="true" outlineLevel="0" collapsed="false">
      <c r="A14" s="3" t="s">
        <v>470</v>
      </c>
      <c r="B14" s="3" t="s">
        <v>4</v>
      </c>
      <c r="C14" s="3" t="s">
        <v>471</v>
      </c>
      <c r="D14" s="3" t="s">
        <v>472</v>
      </c>
      <c r="E14" s="3" t="s">
        <v>375</v>
      </c>
      <c r="F14" s="3" t="s">
        <v>7</v>
      </c>
    </row>
    <row r="15" customFormat="false" ht="15" hidden="false" customHeight="false" outlineLevel="0" collapsed="false">
      <c r="A15" s="7" t="s">
        <v>479</v>
      </c>
      <c r="B15" s="7" t="s">
        <v>395</v>
      </c>
      <c r="C15" s="24" t="n">
        <v>1</v>
      </c>
      <c r="D15" s="41" t="n">
        <f aca="false">C15*8/$B$13</f>
        <v>0.666666666666667</v>
      </c>
      <c r="E15" s="13" t="n">
        <f aca="false">Insumos!$D$11</f>
        <v>22.871875</v>
      </c>
      <c r="F15" s="13" t="n">
        <f aca="false">D15*E15</f>
        <v>15.2479166666667</v>
      </c>
    </row>
    <row r="16" customFormat="false" ht="15" hidden="false" customHeight="false" outlineLevel="0" collapsed="false">
      <c r="A16" s="7" t="s">
        <v>480</v>
      </c>
      <c r="B16" s="7" t="s">
        <v>395</v>
      </c>
      <c r="C16" s="24" t="n">
        <v>3</v>
      </c>
      <c r="D16" s="41" t="n">
        <f aca="false">C16*8/$B$13</f>
        <v>2</v>
      </c>
      <c r="E16" s="13" t="n">
        <f aca="false">Insumos!$D$12</f>
        <v>20.7</v>
      </c>
      <c r="F16" s="13" t="n">
        <f aca="false">D16*E16</f>
        <v>41.4</v>
      </c>
    </row>
    <row r="17" customFormat="false" ht="15" hidden="false" customHeight="false" outlineLevel="0" collapsed="false">
      <c r="A17" s="7" t="s">
        <v>435</v>
      </c>
      <c r="B17" s="7" t="s">
        <v>12</v>
      </c>
      <c r="C17" s="7"/>
      <c r="D17" s="42" t="n">
        <v>0.1</v>
      </c>
      <c r="E17" s="13" t="n">
        <f aca="false">Insumos!$D$25</f>
        <v>6</v>
      </c>
      <c r="F17" s="13" t="n">
        <f aca="false">D17*E17</f>
        <v>0.6</v>
      </c>
    </row>
    <row r="18" customFormat="false" ht="15" hidden="false" customHeight="false" outlineLevel="0" collapsed="false">
      <c r="A18" s="7" t="s">
        <v>481</v>
      </c>
      <c r="B18" s="7" t="s">
        <v>379</v>
      </c>
      <c r="C18" s="7"/>
      <c r="D18" s="41" t="n">
        <f aca="false">1/$B$13</f>
        <v>0.0833333333333333</v>
      </c>
      <c r="E18" s="13" t="n">
        <f aca="false">Insumos!$D$32</f>
        <v>150</v>
      </c>
      <c r="F18" s="13" t="n">
        <f aca="false">D18*E18</f>
        <v>12.5</v>
      </c>
    </row>
    <row r="19" customFormat="false" ht="15" hidden="false" customHeight="false" outlineLevel="0" collapsed="false">
      <c r="A19" s="7" t="s">
        <v>475</v>
      </c>
      <c r="B19" s="7" t="s">
        <v>476</v>
      </c>
      <c r="C19" s="7"/>
      <c r="D19" s="36" t="n">
        <v>0.03</v>
      </c>
      <c r="E19" s="13" t="n">
        <f aca="false">SUM(F15,F16)</f>
        <v>56.6479166666667</v>
      </c>
      <c r="F19" s="13" t="n">
        <f aca="false">D19*E19</f>
        <v>1.6994375</v>
      </c>
    </row>
    <row r="20" customFormat="false" ht="15" hidden="false" customHeight="false" outlineLevel="0" collapsed="false">
      <c r="A20" s="10" t="s">
        <v>477</v>
      </c>
      <c r="B20" s="16"/>
      <c r="C20" s="16"/>
      <c r="D20" s="16"/>
      <c r="E20" s="16"/>
      <c r="F20" s="11" t="n">
        <f aca="false">SUM(F15:F19)</f>
        <v>71.4473541666667</v>
      </c>
    </row>
    <row r="22" customFormat="false" ht="15" hidden="false" customHeight="false" outlineLevel="0" collapsed="false">
      <c r="A22" s="37" t="s">
        <v>482</v>
      </c>
      <c r="B22" s="38" t="s">
        <v>84</v>
      </c>
      <c r="C22" s="39"/>
      <c r="D22" s="39"/>
      <c r="E22" s="39"/>
      <c r="F22" s="39"/>
    </row>
    <row r="23" customFormat="false" ht="15" hidden="false" customHeight="false" outlineLevel="0" collapsed="false">
      <c r="A23" s="40" t="s">
        <v>469</v>
      </c>
      <c r="B23" s="24" t="n">
        <v>1</v>
      </c>
    </row>
    <row r="24" customFormat="false" ht="36" hidden="false" customHeight="true" outlineLevel="0" collapsed="false">
      <c r="A24" s="3" t="s">
        <v>470</v>
      </c>
      <c r="B24" s="3" t="s">
        <v>4</v>
      </c>
      <c r="C24" s="3" t="s">
        <v>471</v>
      </c>
      <c r="D24" s="3" t="s">
        <v>472</v>
      </c>
      <c r="E24" s="3" t="s">
        <v>375</v>
      </c>
      <c r="F24" s="3" t="s">
        <v>7</v>
      </c>
    </row>
    <row r="25" customFormat="false" ht="15" hidden="false" customHeight="false" outlineLevel="0" collapsed="false">
      <c r="A25" s="7" t="s">
        <v>483</v>
      </c>
      <c r="B25" s="7" t="s">
        <v>84</v>
      </c>
      <c r="C25" s="7"/>
      <c r="D25" s="42" t="n">
        <v>1</v>
      </c>
      <c r="E25" s="13" t="n">
        <f aca="false">Insumos!$D$30</f>
        <v>500</v>
      </c>
      <c r="F25" s="13" t="n">
        <f aca="false">D25*E25</f>
        <v>500</v>
      </c>
    </row>
    <row r="26" customFormat="false" ht="15" hidden="false" customHeight="false" outlineLevel="0" collapsed="false">
      <c r="A26" s="7" t="s">
        <v>484</v>
      </c>
      <c r="B26" s="7" t="s">
        <v>113</v>
      </c>
      <c r="C26" s="7"/>
      <c r="D26" s="41" t="n">
        <f aca="false">Insumos!$D$31/(2*Insumos!$D$28)</f>
        <v>0.625</v>
      </c>
      <c r="E26" s="13" t="n">
        <f aca="false">Insumos!$D$27</f>
        <v>170</v>
      </c>
      <c r="F26" s="13" t="n">
        <f aca="false">D26*E26</f>
        <v>106.25</v>
      </c>
    </row>
    <row r="27" customFormat="false" ht="15" hidden="false" customHeight="false" outlineLevel="0" collapsed="false">
      <c r="A27" s="10" t="s">
        <v>477</v>
      </c>
      <c r="B27" s="16"/>
      <c r="C27" s="16"/>
      <c r="D27" s="16"/>
      <c r="E27" s="16"/>
      <c r="F27" s="11" t="n">
        <f aca="false">SUM(F25:F26)</f>
        <v>606.25</v>
      </c>
    </row>
    <row r="29" customFormat="false" ht="15" hidden="false" customHeight="false" outlineLevel="0" collapsed="false">
      <c r="A29" s="37" t="s">
        <v>485</v>
      </c>
      <c r="B29" s="38" t="s">
        <v>23</v>
      </c>
      <c r="C29" s="39"/>
      <c r="D29" s="39"/>
      <c r="E29" s="39"/>
      <c r="F29" s="39"/>
    </row>
    <row r="30" customFormat="false" ht="15" hidden="false" customHeight="false" outlineLevel="0" collapsed="false">
      <c r="A30" s="40" t="s">
        <v>469</v>
      </c>
      <c r="B30" s="24" t="n">
        <v>100</v>
      </c>
    </row>
    <row r="31" customFormat="false" ht="36" hidden="false" customHeight="true" outlineLevel="0" collapsed="false">
      <c r="A31" s="3" t="s">
        <v>470</v>
      </c>
      <c r="B31" s="3" t="s">
        <v>4</v>
      </c>
      <c r="C31" s="3" t="s">
        <v>471</v>
      </c>
      <c r="D31" s="3" t="s">
        <v>472</v>
      </c>
      <c r="E31" s="3" t="s">
        <v>375</v>
      </c>
      <c r="F31" s="3" t="s">
        <v>7</v>
      </c>
    </row>
    <row r="32" customFormat="false" ht="15" hidden="false" customHeight="false" outlineLevel="0" collapsed="false">
      <c r="A32" s="7" t="s">
        <v>486</v>
      </c>
      <c r="B32" s="7" t="s">
        <v>395</v>
      </c>
      <c r="C32" s="24" t="n">
        <v>1</v>
      </c>
      <c r="D32" s="41" t="n">
        <f aca="false">C32*8/$B$30</f>
        <v>0.08</v>
      </c>
      <c r="E32" s="13" t="n">
        <f aca="false">Insumos!$D$10</f>
        <v>29.2045</v>
      </c>
      <c r="F32" s="13" t="n">
        <f aca="false">D32*E32</f>
        <v>2.33636</v>
      </c>
    </row>
    <row r="33" customFormat="false" ht="15" hidden="false" customHeight="false" outlineLevel="0" collapsed="false">
      <c r="A33" s="7" t="s">
        <v>479</v>
      </c>
      <c r="B33" s="7" t="s">
        <v>395</v>
      </c>
      <c r="C33" s="24" t="n">
        <v>1</v>
      </c>
      <c r="D33" s="41" t="n">
        <f aca="false">C33*8/$B$30</f>
        <v>0.08</v>
      </c>
      <c r="E33" s="13" t="n">
        <f aca="false">Insumos!$D$11</f>
        <v>22.871875</v>
      </c>
      <c r="F33" s="13" t="n">
        <f aca="false">D33*E33</f>
        <v>1.82975</v>
      </c>
    </row>
    <row r="34" customFormat="false" ht="15" hidden="false" customHeight="false" outlineLevel="0" collapsed="false">
      <c r="A34" s="7" t="s">
        <v>480</v>
      </c>
      <c r="B34" s="7" t="s">
        <v>395</v>
      </c>
      <c r="C34" s="24" t="n">
        <v>4</v>
      </c>
      <c r="D34" s="41" t="n">
        <f aca="false">C34*8/$B$30</f>
        <v>0.32</v>
      </c>
      <c r="E34" s="13" t="n">
        <f aca="false">Insumos!$D$12</f>
        <v>20.7</v>
      </c>
      <c r="F34" s="13" t="n">
        <f aca="false">D34*E34</f>
        <v>6.624</v>
      </c>
    </row>
    <row r="35" customFormat="false" ht="15" hidden="false" customHeight="false" outlineLevel="0" collapsed="false">
      <c r="A35" s="7" t="s">
        <v>487</v>
      </c>
      <c r="B35" s="7" t="s">
        <v>430</v>
      </c>
      <c r="C35" s="7"/>
      <c r="D35" s="42" t="n">
        <v>0.3</v>
      </c>
      <c r="E35" s="13" t="n">
        <f aca="false">Insumos!$D$23</f>
        <v>31</v>
      </c>
      <c r="F35" s="13" t="n">
        <f aca="false">D35*E35</f>
        <v>9.3</v>
      </c>
    </row>
    <row r="36" customFormat="false" ht="15" hidden="false" customHeight="false" outlineLevel="0" collapsed="false">
      <c r="A36" s="7" t="s">
        <v>432</v>
      </c>
      <c r="B36" s="7" t="s">
        <v>12</v>
      </c>
      <c r="C36" s="7"/>
      <c r="D36" s="42" t="n">
        <v>0.13</v>
      </c>
      <c r="E36" s="13" t="n">
        <f aca="false">Insumos!$D$24</f>
        <v>80</v>
      </c>
      <c r="F36" s="13" t="n">
        <f aca="false">D36*E36</f>
        <v>10.4</v>
      </c>
    </row>
    <row r="37" customFormat="false" ht="15" hidden="false" customHeight="false" outlineLevel="0" collapsed="false">
      <c r="A37" s="7" t="s">
        <v>435</v>
      </c>
      <c r="B37" s="7" t="s">
        <v>12</v>
      </c>
      <c r="C37" s="7"/>
      <c r="D37" s="42" t="n">
        <v>0.02</v>
      </c>
      <c r="E37" s="13" t="n">
        <f aca="false">Insumos!$D$25</f>
        <v>6</v>
      </c>
      <c r="F37" s="13" t="n">
        <f aca="false">D37*E37</f>
        <v>0.12</v>
      </c>
    </row>
    <row r="38" customFormat="false" ht="15" hidden="false" customHeight="false" outlineLevel="0" collapsed="false">
      <c r="A38" s="7" t="s">
        <v>488</v>
      </c>
      <c r="B38" s="7" t="s">
        <v>379</v>
      </c>
      <c r="C38" s="7"/>
      <c r="D38" s="41" t="n">
        <f aca="false">1/$B$30</f>
        <v>0.01</v>
      </c>
      <c r="E38" s="13" t="n">
        <f aca="false">Insumos!$D$33</f>
        <v>100</v>
      </c>
      <c r="F38" s="13" t="n">
        <f aca="false">D38*E38</f>
        <v>1</v>
      </c>
    </row>
    <row r="39" customFormat="false" ht="15" hidden="false" customHeight="false" outlineLevel="0" collapsed="false">
      <c r="A39" s="7" t="s">
        <v>475</v>
      </c>
      <c r="B39" s="7" t="s">
        <v>476</v>
      </c>
      <c r="C39" s="7"/>
      <c r="D39" s="36" t="n">
        <v>0.03</v>
      </c>
      <c r="E39" s="13" t="n">
        <f aca="false">SUM(F32,F33,F34)</f>
        <v>10.79011</v>
      </c>
      <c r="F39" s="13" t="n">
        <f aca="false">D39*E39</f>
        <v>0.3237033</v>
      </c>
    </row>
    <row r="40" customFormat="false" ht="15" hidden="false" customHeight="false" outlineLevel="0" collapsed="false">
      <c r="A40" s="10" t="s">
        <v>477</v>
      </c>
      <c r="B40" s="16"/>
      <c r="C40" s="16"/>
      <c r="D40" s="16"/>
      <c r="E40" s="16"/>
      <c r="F40" s="11" t="n">
        <f aca="false">SUM(F32:F39)</f>
        <v>31.9338133</v>
      </c>
    </row>
    <row r="42" customFormat="false" ht="15" hidden="false" customHeight="false" outlineLevel="0" collapsed="false">
      <c r="A42" s="37" t="s">
        <v>489</v>
      </c>
      <c r="B42" s="38" t="s">
        <v>12</v>
      </c>
      <c r="C42" s="39"/>
      <c r="D42" s="39"/>
      <c r="E42" s="39"/>
      <c r="F42" s="39"/>
    </row>
    <row r="43" customFormat="false" ht="15" hidden="false" customHeight="false" outlineLevel="0" collapsed="false">
      <c r="A43" s="40" t="s">
        <v>469</v>
      </c>
      <c r="B43" s="24" t="n">
        <v>30</v>
      </c>
    </row>
    <row r="44" customFormat="false" ht="36" hidden="false" customHeight="true" outlineLevel="0" collapsed="false">
      <c r="A44" s="3" t="s">
        <v>470</v>
      </c>
      <c r="B44" s="3" t="s">
        <v>4</v>
      </c>
      <c r="C44" s="3" t="s">
        <v>471</v>
      </c>
      <c r="D44" s="3" t="s">
        <v>472</v>
      </c>
      <c r="E44" s="3" t="s">
        <v>375</v>
      </c>
      <c r="F44" s="3" t="s">
        <v>7</v>
      </c>
    </row>
    <row r="45" customFormat="false" ht="15" hidden="false" customHeight="false" outlineLevel="0" collapsed="false">
      <c r="A45" s="7" t="s">
        <v>486</v>
      </c>
      <c r="B45" s="7" t="s">
        <v>395</v>
      </c>
      <c r="C45" s="24" t="n">
        <v>1</v>
      </c>
      <c r="D45" s="41" t="n">
        <f aca="false">C45*8/$B$43</f>
        <v>0.266666666666667</v>
      </c>
      <c r="E45" s="13" t="n">
        <f aca="false">Insumos!$D$10</f>
        <v>29.2045</v>
      </c>
      <c r="F45" s="13" t="n">
        <f aca="false">D45*E45</f>
        <v>7.78786666666667</v>
      </c>
    </row>
    <row r="46" customFormat="false" ht="15" hidden="false" customHeight="false" outlineLevel="0" collapsed="false">
      <c r="A46" s="7" t="s">
        <v>479</v>
      </c>
      <c r="B46" s="7" t="s">
        <v>395</v>
      </c>
      <c r="C46" s="24" t="n">
        <v>2</v>
      </c>
      <c r="D46" s="41" t="n">
        <f aca="false">C46*8/$B$43</f>
        <v>0.533333333333333</v>
      </c>
      <c r="E46" s="13" t="n">
        <f aca="false">Insumos!$D$11</f>
        <v>22.871875</v>
      </c>
      <c r="F46" s="13" t="n">
        <f aca="false">D46*E46</f>
        <v>12.1983333333333</v>
      </c>
    </row>
    <row r="47" customFormat="false" ht="15" hidden="false" customHeight="false" outlineLevel="0" collapsed="false">
      <c r="A47" s="7" t="s">
        <v>490</v>
      </c>
      <c r="B47" s="7" t="s">
        <v>395</v>
      </c>
      <c r="C47" s="24" t="n">
        <v>4</v>
      </c>
      <c r="D47" s="41" t="n">
        <f aca="false">C47*8/$B$43</f>
        <v>1.06666666666667</v>
      </c>
      <c r="E47" s="13" t="n">
        <f aca="false">Insumos!$D$12</f>
        <v>20.7</v>
      </c>
      <c r="F47" s="13" t="n">
        <f aca="false">D47*E47</f>
        <v>22.08</v>
      </c>
    </row>
    <row r="48" customFormat="false" ht="15" hidden="false" customHeight="false" outlineLevel="0" collapsed="false">
      <c r="A48" s="7" t="s">
        <v>491</v>
      </c>
      <c r="B48" s="7" t="s">
        <v>12</v>
      </c>
      <c r="C48" s="7"/>
      <c r="D48" s="41" t="n">
        <f aca="false">1+Insumos!$D$16</f>
        <v>1.03</v>
      </c>
      <c r="E48" s="13" t="n">
        <f aca="false">Insumos!$D$13</f>
        <v>380</v>
      </c>
      <c r="F48" s="13" t="n">
        <f aca="false">D48*E48</f>
        <v>391.4</v>
      </c>
    </row>
    <row r="49" customFormat="false" ht="15" hidden="false" customHeight="false" outlineLevel="0" collapsed="false">
      <c r="A49" s="7" t="s">
        <v>492</v>
      </c>
      <c r="B49" s="7" t="s">
        <v>12</v>
      </c>
      <c r="C49" s="7"/>
      <c r="D49" s="42" t="n">
        <v>0.1</v>
      </c>
      <c r="E49" s="13" t="n">
        <f aca="false">Insumos!$D$25</f>
        <v>6</v>
      </c>
      <c r="F49" s="13" t="n">
        <f aca="false">D49*E49</f>
        <v>0.6</v>
      </c>
    </row>
    <row r="50" customFormat="false" ht="15" hidden="false" customHeight="false" outlineLevel="0" collapsed="false">
      <c r="A50" s="7" t="s">
        <v>493</v>
      </c>
      <c r="B50" s="7" t="s">
        <v>12</v>
      </c>
      <c r="C50" s="7"/>
      <c r="D50" s="41" t="n">
        <f aca="false">MAX((Zapatas!I10+Vigas_Cimentacion!J31)*(1+Insumos!$D$16),Insumos!$D$15)/(Zapatas!I10+Vigas_Cimentacion!J31)</f>
        <v>1.03</v>
      </c>
      <c r="E50" s="13" t="n">
        <f aca="false">Insumos!$D$14</f>
        <v>40</v>
      </c>
      <c r="F50" s="13" t="n">
        <f aca="false">D50*E50</f>
        <v>41.2</v>
      </c>
    </row>
    <row r="51" customFormat="false" ht="15" hidden="false" customHeight="false" outlineLevel="0" collapsed="false">
      <c r="A51" s="7" t="s">
        <v>494</v>
      </c>
      <c r="B51" s="7" t="s">
        <v>379</v>
      </c>
      <c r="C51" s="7"/>
      <c r="D51" s="41" t="n">
        <f aca="false">1/$B$43</f>
        <v>0.0333333333333333</v>
      </c>
      <c r="E51" s="13" t="n">
        <f aca="false">Insumos!$D$34</f>
        <v>80</v>
      </c>
      <c r="F51" s="13" t="n">
        <f aca="false">D51*E51</f>
        <v>2.66666666666667</v>
      </c>
    </row>
    <row r="52" customFormat="false" ht="15" hidden="false" customHeight="false" outlineLevel="0" collapsed="false">
      <c r="A52" s="7" t="s">
        <v>475</v>
      </c>
      <c r="B52" s="7" t="s">
        <v>476</v>
      </c>
      <c r="C52" s="7"/>
      <c r="D52" s="36" t="n">
        <v>0.03</v>
      </c>
      <c r="E52" s="13" t="n">
        <f aca="false">SUM(F45,F46,F47)</f>
        <v>42.0662</v>
      </c>
      <c r="F52" s="13" t="n">
        <f aca="false">D52*E52</f>
        <v>1.261986</v>
      </c>
    </row>
    <row r="53" customFormat="false" ht="15" hidden="false" customHeight="false" outlineLevel="0" collapsed="false">
      <c r="A53" s="10" t="s">
        <v>477</v>
      </c>
      <c r="B53" s="16"/>
      <c r="C53" s="16"/>
      <c r="D53" s="16"/>
      <c r="E53" s="16"/>
      <c r="F53" s="11" t="n">
        <f aca="false">SUM(F45:F52)</f>
        <v>479.194852666667</v>
      </c>
    </row>
    <row r="55" customFormat="false" ht="15" hidden="false" customHeight="false" outlineLevel="0" collapsed="false">
      <c r="A55" s="37" t="s">
        <v>495</v>
      </c>
      <c r="B55" s="38" t="s">
        <v>12</v>
      </c>
      <c r="C55" s="39"/>
      <c r="D55" s="39"/>
      <c r="E55" s="39"/>
      <c r="F55" s="39"/>
    </row>
    <row r="56" customFormat="false" ht="15" hidden="false" customHeight="false" outlineLevel="0" collapsed="false">
      <c r="A56" s="40" t="s">
        <v>469</v>
      </c>
      <c r="B56" s="24" t="n">
        <v>12</v>
      </c>
    </row>
    <row r="57" customFormat="false" ht="36" hidden="false" customHeight="true" outlineLevel="0" collapsed="false">
      <c r="A57" s="3" t="s">
        <v>470</v>
      </c>
      <c r="B57" s="3" t="s">
        <v>4</v>
      </c>
      <c r="C57" s="3" t="s">
        <v>471</v>
      </c>
      <c r="D57" s="3" t="s">
        <v>472</v>
      </c>
      <c r="E57" s="3" t="s">
        <v>375</v>
      </c>
      <c r="F57" s="3" t="s">
        <v>7</v>
      </c>
    </row>
    <row r="58" customFormat="false" ht="15" hidden="false" customHeight="false" outlineLevel="0" collapsed="false">
      <c r="A58" s="7" t="s">
        <v>486</v>
      </c>
      <c r="B58" s="7" t="s">
        <v>395</v>
      </c>
      <c r="C58" s="24" t="n">
        <v>1</v>
      </c>
      <c r="D58" s="41" t="n">
        <f aca="false">C58*8/$B$56</f>
        <v>0.666666666666667</v>
      </c>
      <c r="E58" s="13" t="n">
        <f aca="false">Insumos!$D$10</f>
        <v>29.2045</v>
      </c>
      <c r="F58" s="13" t="n">
        <f aca="false">D58*E58</f>
        <v>19.4696666666667</v>
      </c>
    </row>
    <row r="59" customFormat="false" ht="15" hidden="false" customHeight="false" outlineLevel="0" collapsed="false">
      <c r="A59" s="7" t="s">
        <v>479</v>
      </c>
      <c r="B59" s="7" t="s">
        <v>395</v>
      </c>
      <c r="C59" s="24" t="n">
        <v>2</v>
      </c>
      <c r="D59" s="41" t="n">
        <f aca="false">C59*8/$B$56</f>
        <v>1.33333333333333</v>
      </c>
      <c r="E59" s="13" t="n">
        <f aca="false">Insumos!$D$11</f>
        <v>22.871875</v>
      </c>
      <c r="F59" s="13" t="n">
        <f aca="false">D59*E59</f>
        <v>30.4958333333333</v>
      </c>
    </row>
    <row r="60" customFormat="false" ht="15" hidden="false" customHeight="false" outlineLevel="0" collapsed="false">
      <c r="A60" s="7" t="s">
        <v>490</v>
      </c>
      <c r="B60" s="7" t="s">
        <v>395</v>
      </c>
      <c r="C60" s="24" t="n">
        <v>4</v>
      </c>
      <c r="D60" s="41" t="n">
        <f aca="false">C60*8/$B$56</f>
        <v>2.66666666666667</v>
      </c>
      <c r="E60" s="13" t="n">
        <f aca="false">Insumos!$D$12</f>
        <v>20.7</v>
      </c>
      <c r="F60" s="13" t="n">
        <f aca="false">D60*E60</f>
        <v>55.2</v>
      </c>
    </row>
    <row r="61" customFormat="false" ht="15" hidden="false" customHeight="false" outlineLevel="0" collapsed="false">
      <c r="A61" s="7" t="s">
        <v>491</v>
      </c>
      <c r="B61" s="7" t="s">
        <v>12</v>
      </c>
      <c r="C61" s="7"/>
      <c r="D61" s="41" t="n">
        <f aca="false">1+Insumos!$D$16</f>
        <v>1.03</v>
      </c>
      <c r="E61" s="13" t="n">
        <f aca="false">Insumos!$D$13</f>
        <v>380</v>
      </c>
      <c r="F61" s="13" t="n">
        <f aca="false">D61*E61</f>
        <v>391.4</v>
      </c>
    </row>
    <row r="62" customFormat="false" ht="15" hidden="false" customHeight="false" outlineLevel="0" collapsed="false">
      <c r="A62" s="7" t="s">
        <v>492</v>
      </c>
      <c r="B62" s="7" t="s">
        <v>12</v>
      </c>
      <c r="C62" s="7"/>
      <c r="D62" s="42" t="n">
        <v>0.1</v>
      </c>
      <c r="E62" s="13" t="n">
        <f aca="false">Insumos!$D$25</f>
        <v>6</v>
      </c>
      <c r="F62" s="13" t="n">
        <f aca="false">D62*E62</f>
        <v>0.6</v>
      </c>
    </row>
    <row r="63" customFormat="false" ht="15" hidden="false" customHeight="false" outlineLevel="0" collapsed="false">
      <c r="A63" s="7" t="s">
        <v>496</v>
      </c>
      <c r="B63" s="7" t="s">
        <v>12</v>
      </c>
      <c r="C63" s="7"/>
      <c r="D63" s="41" t="n">
        <f aca="false">(MAX((Columnas!G16+Columnas!H16)*(1+Insumos!$D$16),Insumos!$D$15)+MAX(Columnas!I16*(1+Insumos!$D$16),Insumos!$D$15)+MAX(Columnas!J16*(1+Insumos!$D$16),Insumos!$D$15))/Columnas!K16</f>
        <v>2.56344527044348</v>
      </c>
      <c r="E63" s="13" t="n">
        <f aca="false">Insumos!$D$14</f>
        <v>40</v>
      </c>
      <c r="F63" s="13" t="n">
        <f aca="false">D63*E63</f>
        <v>102.537810817739</v>
      </c>
    </row>
    <row r="64" customFormat="false" ht="15" hidden="false" customHeight="false" outlineLevel="0" collapsed="false">
      <c r="A64" s="7" t="s">
        <v>494</v>
      </c>
      <c r="B64" s="7" t="s">
        <v>379</v>
      </c>
      <c r="C64" s="7"/>
      <c r="D64" s="41" t="n">
        <f aca="false">1/$B$56</f>
        <v>0.0833333333333333</v>
      </c>
      <c r="E64" s="13" t="n">
        <f aca="false">Insumos!$D$34</f>
        <v>80</v>
      </c>
      <c r="F64" s="13" t="n">
        <f aca="false">D64*E64</f>
        <v>6.66666666666667</v>
      </c>
    </row>
    <row r="65" customFormat="false" ht="15" hidden="false" customHeight="false" outlineLevel="0" collapsed="false">
      <c r="A65" s="7" t="s">
        <v>475</v>
      </c>
      <c r="B65" s="7" t="s">
        <v>476</v>
      </c>
      <c r="C65" s="7"/>
      <c r="D65" s="36" t="n">
        <v>0.03</v>
      </c>
      <c r="E65" s="13" t="n">
        <f aca="false">SUM(F58,F59,F60)</f>
        <v>105.1655</v>
      </c>
      <c r="F65" s="13" t="n">
        <f aca="false">D65*E65</f>
        <v>3.154965</v>
      </c>
    </row>
    <row r="66" customFormat="false" ht="15" hidden="false" customHeight="false" outlineLevel="0" collapsed="false">
      <c r="A66" s="10" t="s">
        <v>477</v>
      </c>
      <c r="B66" s="16"/>
      <c r="C66" s="16"/>
      <c r="D66" s="16"/>
      <c r="E66" s="16"/>
      <c r="F66" s="11" t="n">
        <f aca="false">SUM(F58:F65)</f>
        <v>609.524942484406</v>
      </c>
    </row>
    <row r="68" customFormat="false" ht="15" hidden="false" customHeight="false" outlineLevel="0" collapsed="false">
      <c r="A68" s="37" t="s">
        <v>50</v>
      </c>
      <c r="B68" s="38" t="s">
        <v>23</v>
      </c>
      <c r="C68" s="39"/>
      <c r="D68" s="39"/>
      <c r="E68" s="39"/>
      <c r="F68" s="39"/>
    </row>
    <row r="69" customFormat="false" ht="15" hidden="false" customHeight="false" outlineLevel="0" collapsed="false">
      <c r="A69" s="40" t="s">
        <v>469</v>
      </c>
      <c r="B69" s="24" t="n">
        <v>12</v>
      </c>
    </row>
    <row r="70" customFormat="false" ht="36" hidden="false" customHeight="true" outlineLevel="0" collapsed="false">
      <c r="A70" s="3" t="s">
        <v>470</v>
      </c>
      <c r="B70" s="3" t="s">
        <v>4</v>
      </c>
      <c r="C70" s="3" t="s">
        <v>471</v>
      </c>
      <c r="D70" s="3" t="s">
        <v>472</v>
      </c>
      <c r="E70" s="3" t="s">
        <v>375</v>
      </c>
      <c r="F70" s="3" t="s">
        <v>7</v>
      </c>
    </row>
    <row r="71" customFormat="false" ht="15" hidden="false" customHeight="false" outlineLevel="0" collapsed="false">
      <c r="A71" s="7" t="s">
        <v>486</v>
      </c>
      <c r="B71" s="7" t="s">
        <v>395</v>
      </c>
      <c r="C71" s="24" t="n">
        <v>1</v>
      </c>
      <c r="D71" s="41" t="n">
        <f aca="false">C71*8/$B$69</f>
        <v>0.666666666666667</v>
      </c>
      <c r="E71" s="13" t="n">
        <f aca="false">Insumos!$D$10</f>
        <v>29.2045</v>
      </c>
      <c r="F71" s="13" t="n">
        <f aca="false">D71*E71</f>
        <v>19.4696666666667</v>
      </c>
    </row>
    <row r="72" customFormat="false" ht="15" hidden="false" customHeight="false" outlineLevel="0" collapsed="false">
      <c r="A72" s="7" t="s">
        <v>479</v>
      </c>
      <c r="B72" s="7" t="s">
        <v>395</v>
      </c>
      <c r="C72" s="24" t="n">
        <v>1</v>
      </c>
      <c r="D72" s="41" t="n">
        <f aca="false">C72*8/$B$69</f>
        <v>0.666666666666667</v>
      </c>
      <c r="E72" s="13" t="n">
        <f aca="false">Insumos!$D$11</f>
        <v>22.871875</v>
      </c>
      <c r="F72" s="13" t="n">
        <f aca="false">D72*E72</f>
        <v>15.2479166666667</v>
      </c>
    </row>
    <row r="73" customFormat="false" ht="15" hidden="false" customHeight="false" outlineLevel="0" collapsed="false">
      <c r="A73" s="7" t="s">
        <v>497</v>
      </c>
      <c r="B73" s="7" t="s">
        <v>427</v>
      </c>
      <c r="C73" s="7"/>
      <c r="D73" s="42" t="n">
        <v>1.9</v>
      </c>
      <c r="E73" s="13" t="n">
        <f aca="false">Insumos!$D$22</f>
        <v>6.5</v>
      </c>
      <c r="F73" s="13" t="n">
        <f aca="false">D73*E73</f>
        <v>12.35</v>
      </c>
    </row>
    <row r="74" customFormat="false" ht="15" hidden="false" customHeight="false" outlineLevel="0" collapsed="false">
      <c r="A74" s="7" t="s">
        <v>498</v>
      </c>
      <c r="B74" s="7" t="s">
        <v>34</v>
      </c>
      <c r="C74" s="7"/>
      <c r="D74" s="42" t="n">
        <v>0.17</v>
      </c>
      <c r="E74" s="13" t="n">
        <f aca="false">Insumos!$D$21</f>
        <v>6.5</v>
      </c>
      <c r="F74" s="13" t="n">
        <f aca="false">D74*E74</f>
        <v>1.105</v>
      </c>
    </row>
    <row r="75" customFormat="false" ht="15" hidden="false" customHeight="false" outlineLevel="0" collapsed="false">
      <c r="A75" s="7" t="s">
        <v>499</v>
      </c>
      <c r="B75" s="7" t="s">
        <v>34</v>
      </c>
      <c r="C75" s="7"/>
      <c r="D75" s="42" t="n">
        <v>0.3</v>
      </c>
      <c r="E75" s="13" t="n">
        <f aca="false">Insumos!$D$20</f>
        <v>6</v>
      </c>
      <c r="F75" s="13" t="n">
        <f aca="false">D75*E75</f>
        <v>1.8</v>
      </c>
    </row>
    <row r="76" customFormat="false" ht="15" hidden="false" customHeight="false" outlineLevel="0" collapsed="false">
      <c r="A76" s="7" t="s">
        <v>475</v>
      </c>
      <c r="B76" s="7" t="s">
        <v>476</v>
      </c>
      <c r="C76" s="7"/>
      <c r="D76" s="36" t="n">
        <v>0.03</v>
      </c>
      <c r="E76" s="13" t="n">
        <f aca="false">SUM(F71,F72)</f>
        <v>34.7175833333333</v>
      </c>
      <c r="F76" s="13" t="n">
        <f aca="false">D76*E76</f>
        <v>1.0415275</v>
      </c>
    </row>
    <row r="77" customFormat="false" ht="15" hidden="false" customHeight="false" outlineLevel="0" collapsed="false">
      <c r="A77" s="10" t="s">
        <v>477</v>
      </c>
      <c r="B77" s="16"/>
      <c r="C77" s="16"/>
      <c r="D77" s="16"/>
      <c r="E77" s="16"/>
      <c r="F77" s="11" t="n">
        <f aca="false">SUM(F71:F76)</f>
        <v>51.0141108333333</v>
      </c>
    </row>
    <row r="79" customFormat="false" ht="15" hidden="false" customHeight="false" outlineLevel="0" collapsed="false">
      <c r="A79" s="37" t="s">
        <v>40</v>
      </c>
      <c r="B79" s="38" t="s">
        <v>23</v>
      </c>
      <c r="C79" s="39"/>
      <c r="D79" s="39"/>
      <c r="E79" s="39"/>
      <c r="F79" s="39"/>
    </row>
    <row r="80" customFormat="false" ht="15" hidden="false" customHeight="false" outlineLevel="0" collapsed="false">
      <c r="A80" s="40" t="s">
        <v>469</v>
      </c>
      <c r="B80" s="24" t="n">
        <v>14</v>
      </c>
    </row>
    <row r="81" customFormat="false" ht="36" hidden="false" customHeight="true" outlineLevel="0" collapsed="false">
      <c r="A81" s="3" t="s">
        <v>470</v>
      </c>
      <c r="B81" s="3" t="s">
        <v>4</v>
      </c>
      <c r="C81" s="3" t="s">
        <v>471</v>
      </c>
      <c r="D81" s="3" t="s">
        <v>472</v>
      </c>
      <c r="E81" s="3" t="s">
        <v>375</v>
      </c>
      <c r="F81" s="3" t="s">
        <v>7</v>
      </c>
    </row>
    <row r="82" customFormat="false" ht="15" hidden="false" customHeight="false" outlineLevel="0" collapsed="false">
      <c r="A82" s="7" t="s">
        <v>486</v>
      </c>
      <c r="B82" s="7" t="s">
        <v>395</v>
      </c>
      <c r="C82" s="24" t="n">
        <v>1</v>
      </c>
      <c r="D82" s="41" t="n">
        <f aca="false">C82*8/$B$80</f>
        <v>0.571428571428571</v>
      </c>
      <c r="E82" s="13" t="n">
        <f aca="false">Insumos!$D$10</f>
        <v>29.2045</v>
      </c>
      <c r="F82" s="13" t="n">
        <f aca="false">D82*E82</f>
        <v>16.6882857142857</v>
      </c>
    </row>
    <row r="83" customFormat="false" ht="15" hidden="false" customHeight="false" outlineLevel="0" collapsed="false">
      <c r="A83" s="7" t="s">
        <v>479</v>
      </c>
      <c r="B83" s="7" t="s">
        <v>395</v>
      </c>
      <c r="C83" s="24" t="n">
        <v>1</v>
      </c>
      <c r="D83" s="41" t="n">
        <f aca="false">C83*8/$B$80</f>
        <v>0.571428571428571</v>
      </c>
      <c r="E83" s="13" t="n">
        <f aca="false">Insumos!$D$11</f>
        <v>22.871875</v>
      </c>
      <c r="F83" s="13" t="n">
        <f aca="false">D83*E83</f>
        <v>13.0696428571429</v>
      </c>
    </row>
    <row r="84" customFormat="false" ht="15" hidden="false" customHeight="false" outlineLevel="0" collapsed="false">
      <c r="A84" s="7" t="s">
        <v>497</v>
      </c>
      <c r="B84" s="7" t="s">
        <v>427</v>
      </c>
      <c r="C84" s="7"/>
      <c r="D84" s="42" t="n">
        <v>1.6</v>
      </c>
      <c r="E84" s="13" t="n">
        <f aca="false">Insumos!$D$22</f>
        <v>6.5</v>
      </c>
      <c r="F84" s="13" t="n">
        <f aca="false">D84*E84</f>
        <v>10.4</v>
      </c>
    </row>
    <row r="85" customFormat="false" ht="15" hidden="false" customHeight="false" outlineLevel="0" collapsed="false">
      <c r="A85" s="7" t="s">
        <v>498</v>
      </c>
      <c r="B85" s="7" t="s">
        <v>34</v>
      </c>
      <c r="C85" s="7"/>
      <c r="D85" s="42" t="n">
        <v>0.15</v>
      </c>
      <c r="E85" s="13" t="n">
        <f aca="false">Insumos!$D$21</f>
        <v>6.5</v>
      </c>
      <c r="F85" s="13" t="n">
        <f aca="false">D85*E85</f>
        <v>0.975</v>
      </c>
    </row>
    <row r="86" customFormat="false" ht="15" hidden="false" customHeight="false" outlineLevel="0" collapsed="false">
      <c r="A86" s="7" t="s">
        <v>499</v>
      </c>
      <c r="B86" s="7" t="s">
        <v>34</v>
      </c>
      <c r="C86" s="7"/>
      <c r="D86" s="42" t="n">
        <v>0.25</v>
      </c>
      <c r="E86" s="13" t="n">
        <f aca="false">Insumos!$D$20</f>
        <v>6</v>
      </c>
      <c r="F86" s="13" t="n">
        <f aca="false">D86*E86</f>
        <v>1.5</v>
      </c>
    </row>
    <row r="87" customFormat="false" ht="15" hidden="false" customHeight="false" outlineLevel="0" collapsed="false">
      <c r="A87" s="7" t="s">
        <v>475</v>
      </c>
      <c r="B87" s="7" t="s">
        <v>476</v>
      </c>
      <c r="C87" s="7"/>
      <c r="D87" s="36" t="n">
        <v>0.03</v>
      </c>
      <c r="E87" s="13" t="n">
        <f aca="false">SUM(F82,F83)</f>
        <v>29.7579285714286</v>
      </c>
      <c r="F87" s="13" t="n">
        <f aca="false">D87*E87</f>
        <v>0.892737857142857</v>
      </c>
    </row>
    <row r="88" customFormat="false" ht="15" hidden="false" customHeight="false" outlineLevel="0" collapsed="false">
      <c r="A88" s="10" t="s">
        <v>477</v>
      </c>
      <c r="B88" s="16"/>
      <c r="C88" s="16"/>
      <c r="D88" s="16"/>
      <c r="E88" s="16"/>
      <c r="F88" s="11" t="n">
        <f aca="false">SUM(F82:F87)</f>
        <v>43.5256664285714</v>
      </c>
    </row>
    <row r="90" customFormat="false" ht="15" hidden="false" customHeight="false" outlineLevel="0" collapsed="false">
      <c r="A90" s="37" t="s">
        <v>500</v>
      </c>
      <c r="B90" s="38" t="s">
        <v>34</v>
      </c>
      <c r="C90" s="39"/>
      <c r="D90" s="39"/>
      <c r="E90" s="39"/>
      <c r="F90" s="39"/>
    </row>
    <row r="91" customFormat="false" ht="15" hidden="false" customHeight="false" outlineLevel="0" collapsed="false">
      <c r="A91" s="40" t="s">
        <v>469</v>
      </c>
      <c r="B91" s="24" t="n">
        <v>250</v>
      </c>
    </row>
    <row r="92" customFormat="false" ht="36" hidden="false" customHeight="true" outlineLevel="0" collapsed="false">
      <c r="A92" s="3" t="s">
        <v>470</v>
      </c>
      <c r="B92" s="3" t="s">
        <v>4</v>
      </c>
      <c r="C92" s="3" t="s">
        <v>471</v>
      </c>
      <c r="D92" s="3" t="s">
        <v>472</v>
      </c>
      <c r="E92" s="3" t="s">
        <v>375</v>
      </c>
      <c r="F92" s="3" t="s">
        <v>7</v>
      </c>
    </row>
    <row r="93" customFormat="false" ht="15" hidden="false" customHeight="false" outlineLevel="0" collapsed="false">
      <c r="A93" s="7" t="s">
        <v>486</v>
      </c>
      <c r="B93" s="7" t="s">
        <v>395</v>
      </c>
      <c r="C93" s="24" t="n">
        <v>1</v>
      </c>
      <c r="D93" s="41" t="n">
        <f aca="false">C93*8/$B$91</f>
        <v>0.032</v>
      </c>
      <c r="E93" s="13" t="n">
        <f aca="false">Insumos!$D$10</f>
        <v>29.2045</v>
      </c>
      <c r="F93" s="13" t="n">
        <f aca="false">D93*E93</f>
        <v>0.934544</v>
      </c>
    </row>
    <row r="94" customFormat="false" ht="15" hidden="false" customHeight="false" outlineLevel="0" collapsed="false">
      <c r="A94" s="7" t="s">
        <v>479</v>
      </c>
      <c r="B94" s="7" t="s">
        <v>395</v>
      </c>
      <c r="C94" s="24" t="n">
        <v>1</v>
      </c>
      <c r="D94" s="41" t="n">
        <f aca="false">C94*8/$B$91</f>
        <v>0.032</v>
      </c>
      <c r="E94" s="13" t="n">
        <f aca="false">Insumos!$D$11</f>
        <v>22.871875</v>
      </c>
      <c r="F94" s="13" t="n">
        <f aca="false">D94*E94</f>
        <v>0.7319</v>
      </c>
    </row>
    <row r="95" customFormat="false" ht="15" hidden="false" customHeight="false" outlineLevel="0" collapsed="false">
      <c r="A95" s="7" t="s">
        <v>501</v>
      </c>
      <c r="B95" s="7" t="s">
        <v>34</v>
      </c>
      <c r="C95" s="7"/>
      <c r="D95" s="41" t="n">
        <f aca="false">1+Insumos!$D$18</f>
        <v>1.05</v>
      </c>
      <c r="E95" s="13" t="n">
        <f aca="false">Insumos!$D$17</f>
        <v>3.6</v>
      </c>
      <c r="F95" s="13" t="n">
        <f aca="false">D95*E95</f>
        <v>3.78</v>
      </c>
    </row>
    <row r="96" customFormat="false" ht="15" hidden="false" customHeight="false" outlineLevel="0" collapsed="false">
      <c r="A96" s="7" t="s">
        <v>502</v>
      </c>
      <c r="B96" s="7" t="s">
        <v>34</v>
      </c>
      <c r="C96" s="7"/>
      <c r="D96" s="42" t="n">
        <v>0.04</v>
      </c>
      <c r="E96" s="13" t="n">
        <f aca="false">Insumos!$D$19</f>
        <v>6.5</v>
      </c>
      <c r="F96" s="13" t="n">
        <f aca="false">D96*E96</f>
        <v>0.26</v>
      </c>
    </row>
    <row r="97" customFormat="false" ht="15" hidden="false" customHeight="false" outlineLevel="0" collapsed="false">
      <c r="A97" s="7" t="s">
        <v>475</v>
      </c>
      <c r="B97" s="7" t="s">
        <v>476</v>
      </c>
      <c r="C97" s="7"/>
      <c r="D97" s="36" t="n">
        <v>0.03</v>
      </c>
      <c r="E97" s="13" t="n">
        <f aca="false">SUM(F93,F94)</f>
        <v>1.666444</v>
      </c>
      <c r="F97" s="13" t="n">
        <f aca="false">D97*E97</f>
        <v>0.04999332</v>
      </c>
    </row>
    <row r="98" customFormat="false" ht="15" hidden="false" customHeight="false" outlineLevel="0" collapsed="false">
      <c r="A98" s="10" t="s">
        <v>477</v>
      </c>
      <c r="B98" s="16"/>
      <c r="C98" s="16"/>
      <c r="D98" s="16"/>
      <c r="E98" s="16"/>
      <c r="F98" s="11" t="n">
        <f aca="false">SUM(F93:F97)</f>
        <v>5.75643732</v>
      </c>
    </row>
    <row r="100" customFormat="false" ht="15" hidden="false" customHeight="false" outlineLevel="0" collapsed="false">
      <c r="A100" s="37" t="s">
        <v>503</v>
      </c>
      <c r="B100" s="38" t="s">
        <v>34</v>
      </c>
      <c r="C100" s="39"/>
      <c r="D100" s="39"/>
      <c r="E100" s="39"/>
      <c r="F100" s="39"/>
    </row>
    <row r="101" customFormat="false" ht="15" hidden="false" customHeight="false" outlineLevel="0" collapsed="false">
      <c r="A101" s="40" t="s">
        <v>469</v>
      </c>
      <c r="B101" s="24" t="n">
        <v>200</v>
      </c>
    </row>
    <row r="102" customFormat="false" ht="36" hidden="false" customHeight="true" outlineLevel="0" collapsed="false">
      <c r="A102" s="3" t="s">
        <v>470</v>
      </c>
      <c r="B102" s="3" t="s">
        <v>4</v>
      </c>
      <c r="C102" s="3" t="s">
        <v>471</v>
      </c>
      <c r="D102" s="3" t="s">
        <v>472</v>
      </c>
      <c r="E102" s="3" t="s">
        <v>375</v>
      </c>
      <c r="F102" s="3" t="s">
        <v>7</v>
      </c>
    </row>
    <row r="103" customFormat="false" ht="15" hidden="false" customHeight="false" outlineLevel="0" collapsed="false">
      <c r="A103" s="7" t="s">
        <v>486</v>
      </c>
      <c r="B103" s="7" t="s">
        <v>395</v>
      </c>
      <c r="C103" s="24" t="n">
        <v>1</v>
      </c>
      <c r="D103" s="41" t="n">
        <f aca="false">C103*8/$B$101</f>
        <v>0.04</v>
      </c>
      <c r="E103" s="13" t="n">
        <f aca="false">Insumos!$D$10</f>
        <v>29.2045</v>
      </c>
      <c r="F103" s="13" t="n">
        <f aca="false">D103*E103</f>
        <v>1.16818</v>
      </c>
    </row>
    <row r="104" customFormat="false" ht="15" hidden="false" customHeight="false" outlineLevel="0" collapsed="false">
      <c r="A104" s="7" t="s">
        <v>479</v>
      </c>
      <c r="B104" s="7" t="s">
        <v>395</v>
      </c>
      <c r="C104" s="24" t="n">
        <v>1</v>
      </c>
      <c r="D104" s="41" t="n">
        <f aca="false">C104*8/$B$101</f>
        <v>0.04</v>
      </c>
      <c r="E104" s="13" t="n">
        <f aca="false">Insumos!$D$11</f>
        <v>22.871875</v>
      </c>
      <c r="F104" s="13" t="n">
        <f aca="false">D104*E104</f>
        <v>0.914875</v>
      </c>
    </row>
    <row r="105" customFormat="false" ht="15" hidden="false" customHeight="false" outlineLevel="0" collapsed="false">
      <c r="A105" s="7" t="s">
        <v>501</v>
      </c>
      <c r="B105" s="7" t="s">
        <v>34</v>
      </c>
      <c r="C105" s="7"/>
      <c r="D105" s="41" t="n">
        <f aca="false">1+Insumos!$D$18</f>
        <v>1.05</v>
      </c>
      <c r="E105" s="13" t="n">
        <f aca="false">Insumos!$D$17</f>
        <v>3.6</v>
      </c>
      <c r="F105" s="13" t="n">
        <f aca="false">D105*E105</f>
        <v>3.78</v>
      </c>
    </row>
    <row r="106" customFormat="false" ht="15" hidden="false" customHeight="false" outlineLevel="0" collapsed="false">
      <c r="A106" s="7" t="s">
        <v>502</v>
      </c>
      <c r="B106" s="7" t="s">
        <v>34</v>
      </c>
      <c r="C106" s="7"/>
      <c r="D106" s="42" t="n">
        <v>0.04</v>
      </c>
      <c r="E106" s="13" t="n">
        <f aca="false">Insumos!$D$19</f>
        <v>6.5</v>
      </c>
      <c r="F106" s="13" t="n">
        <f aca="false">D106*E106</f>
        <v>0.26</v>
      </c>
    </row>
    <row r="107" customFormat="false" ht="15" hidden="false" customHeight="false" outlineLevel="0" collapsed="false">
      <c r="A107" s="7" t="s">
        <v>475</v>
      </c>
      <c r="B107" s="7" t="s">
        <v>476</v>
      </c>
      <c r="C107" s="7"/>
      <c r="D107" s="36" t="n">
        <v>0.03</v>
      </c>
      <c r="E107" s="13" t="n">
        <f aca="false">SUM(F103,F104)</f>
        <v>2.083055</v>
      </c>
      <c r="F107" s="13" t="n">
        <f aca="false">D107*E107</f>
        <v>0.06249165</v>
      </c>
    </row>
    <row r="108" customFormat="false" ht="15" hidden="false" customHeight="false" outlineLevel="0" collapsed="false">
      <c r="A108" s="10" t="s">
        <v>477</v>
      </c>
      <c r="B108" s="16"/>
      <c r="C108" s="16"/>
      <c r="D108" s="16"/>
      <c r="E108" s="16"/>
      <c r="F108" s="11" t="n">
        <f aca="false">SUM(F103:F107)</f>
        <v>6.18554665</v>
      </c>
    </row>
    <row r="110" customFormat="false" ht="15" hidden="false" customHeight="false" outlineLevel="0" collapsed="false">
      <c r="A110" s="37" t="s">
        <v>44</v>
      </c>
      <c r="B110" s="38" t="s">
        <v>23</v>
      </c>
      <c r="C110" s="39"/>
      <c r="D110" s="39"/>
      <c r="E110" s="39"/>
      <c r="F110" s="39"/>
    </row>
    <row r="111" customFormat="false" ht="15" hidden="false" customHeight="false" outlineLevel="0" collapsed="false">
      <c r="A111" s="40" t="s">
        <v>469</v>
      </c>
      <c r="B111" s="24" t="n">
        <v>60</v>
      </c>
    </row>
    <row r="112" customFormat="false" ht="36" hidden="false" customHeight="true" outlineLevel="0" collapsed="false">
      <c r="A112" s="3" t="s">
        <v>470</v>
      </c>
      <c r="B112" s="3" t="s">
        <v>4</v>
      </c>
      <c r="C112" s="3" t="s">
        <v>471</v>
      </c>
      <c r="D112" s="3" t="s">
        <v>472</v>
      </c>
      <c r="E112" s="3" t="s">
        <v>375</v>
      </c>
      <c r="F112" s="3" t="s">
        <v>7</v>
      </c>
    </row>
    <row r="113" customFormat="false" ht="15" hidden="false" customHeight="false" outlineLevel="0" collapsed="false">
      <c r="A113" s="7" t="s">
        <v>480</v>
      </c>
      <c r="B113" s="7" t="s">
        <v>395</v>
      </c>
      <c r="C113" s="24" t="n">
        <v>1</v>
      </c>
      <c r="D113" s="41" t="n">
        <f aca="false">C113*8/$B$111</f>
        <v>0.133333333333333</v>
      </c>
      <c r="E113" s="13" t="n">
        <f aca="false">Insumos!$D$12</f>
        <v>20.7</v>
      </c>
      <c r="F113" s="13" t="n">
        <f aca="false">D113*E113</f>
        <v>2.76</v>
      </c>
    </row>
    <row r="114" customFormat="false" ht="15" hidden="false" customHeight="false" outlineLevel="0" collapsed="false">
      <c r="A114" s="7" t="s">
        <v>504</v>
      </c>
      <c r="B114" s="7" t="s">
        <v>23</v>
      </c>
      <c r="C114" s="7"/>
      <c r="D114" s="42" t="n">
        <v>1.05</v>
      </c>
      <c r="E114" s="13" t="n">
        <f aca="false">Insumos!$D$26</f>
        <v>30</v>
      </c>
      <c r="F114" s="13" t="n">
        <f aca="false">D114*E114</f>
        <v>31.5</v>
      </c>
    </row>
    <row r="115" customFormat="false" ht="15" hidden="false" customHeight="false" outlineLevel="0" collapsed="false">
      <c r="A115" s="7" t="s">
        <v>475</v>
      </c>
      <c r="B115" s="7" t="s">
        <v>476</v>
      </c>
      <c r="C115" s="7"/>
      <c r="D115" s="36" t="n">
        <v>0.03</v>
      </c>
      <c r="E115" s="13" t="n">
        <f aca="false">SUM(F113)</f>
        <v>2.76</v>
      </c>
      <c r="F115" s="13" t="n">
        <f aca="false">D115*E115</f>
        <v>0.0828</v>
      </c>
    </row>
    <row r="116" customFormat="false" ht="15" hidden="false" customHeight="false" outlineLevel="0" collapsed="false">
      <c r="A116" s="10" t="s">
        <v>477</v>
      </c>
      <c r="B116" s="16"/>
      <c r="C116" s="16"/>
      <c r="D116" s="16"/>
      <c r="E116" s="16"/>
      <c r="F116" s="11" t="n">
        <f aca="false">SUM(F113:F115)</f>
        <v>34.3428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2026-10-13T14:33:58Z</dcterms:created>
  <dc:creator>openpyxl</dc:creator>
  <dc:description/>
  <dc:language>en-US</dc:language>
  <cp:lastModifiedBy/>
  <dcterms:modified xsi:type="dcterms:W3CDTF">2026-10-13T14:33:58Z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